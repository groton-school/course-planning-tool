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gend" sheetId="1" r:id="rId4"/>
    <sheet state="visible" name="Parameters" sheetId="2" r:id="rId5"/>
    <sheet state="visible" name="Available Courses" sheetId="3" r:id="rId6"/>
    <sheet state="visible" name="Cross-registered Courses" sheetId="4" r:id="rId7"/>
    <sheet state="visible" name="Course Plan Inventory" sheetId="5" r:id="rId8"/>
    <sheet state="visible" name="Student Folder Inventory" sheetId="6" r:id="rId9"/>
    <sheet state="visible" name="Advisor Folder Inventory" sheetId="7" r:id="rId10"/>
    <sheet state="visible" name="Plans Form Folder Inventory" sheetId="8" r:id="rId11"/>
    <sheet state="visible" name="Folders Form Folder Inventory" sheetId="9" r:id="rId12"/>
    <sheet state="visible" name="Student List" sheetId="10" r:id="rId13"/>
    <sheet state="visible" name="Faculty List" sheetId="11" r:id="rId14"/>
    <sheet state="visible" name="Advisor List" sheetId="12" r:id="rId15"/>
    <sheet state="visible" name="Course List" sheetId="13" r:id="rId16"/>
    <sheet state="visible" name="Courses by Department" sheetId="14" r:id="rId17"/>
    <sheet state="visible" name="Student Enrollments" sheetId="15" r:id="rId18"/>
    <sheet state="visible" name="Individual Enrollment History" sheetId="16" r:id="rId19"/>
  </sheets>
  <definedNames>
    <definedName name="IEH_Years">'Individual Enrollment History'!$B$5:$F$5</definedName>
    <definedName name="Param_FormFolderNameFormat">Parameters!$B$4</definedName>
    <definedName name="Clean_CrossRegisteredCourses">'Cross-registered Courses'!$A$3:$C$3</definedName>
    <definedName name="IEH_GradYear">'Individual Enrollment History'!$D$2</definedName>
    <definedName name="Param_CoursePlanNameFormat">Parameters!$B$7</definedName>
    <definedName name="Param_StudentNameFormat">Parameters!$B$3</definedName>
    <definedName name="Enrollment_Department">'Student Enrollments'!$M:$M</definedName>
    <definedName name="Clean_Params">Parameters!$B$9:$B$11</definedName>
    <definedName name="Enrollment_Host_ID">'Student Enrollments'!$D:$D</definedName>
    <definedName name="Enrollment_ChangedSections">'Student Enrollments'!$P:$P</definedName>
    <definedName name="Course_Code">'Course List'!$B$2</definedName>
    <definedName name="Student_Last_Name_Label">'Student List'!$D$1</definedName>
    <definedName name="Faculty_Host_ID_Label">'Faculty List'!$A$1</definedName>
    <definedName name="IEH_HostID_Selector">'Individual Enrollment History'!$A$2</definedName>
    <definedName name="Enrollment_Include">'Student Enrollments'!$AB:$AB</definedName>
    <definedName name="IEH_HostID">'Individual Enrollment History'!$B$2</definedName>
    <definedName name="Student_First_Name">'Student List'!$C:$C</definedName>
    <definedName name="Grad_Year">'Student List'!$E:$E</definedName>
    <definedName name="Param_CollegeCounselingOffice">Parameters!$B$10</definedName>
    <definedName name="StudentList_StudentEmail">'Student List'!$B:$B</definedName>
    <definedName name="Enrollment_TitleWithTerm">'Student Enrollments'!$H:$H</definedName>
    <definedName name="IEH_NumericalYears">'Individual Enrollment History'!$B$3:$F$3</definedName>
    <definedName name="IEH_Departments">'Individual Enrollment History'!$A$6:$A$16</definedName>
    <definedName name="Label_StudentFirstName">'Student List'!$C$1</definedName>
    <definedName name="Enrollment_ParentheticalNote">'Student Enrollments'!$W:$W</definedName>
    <definedName name="Param_CoursePlanTemplate">Parameters!$B$11</definedName>
    <definedName name="Enrollment_TermName">'Student Enrollments'!$K:$K</definedName>
    <definedName name="Course_Title">'Course List'!$C$2</definedName>
    <definedName name="Enrollment_TitleWithoutTerm">'Student Enrollments'!$T:$T</definedName>
    <definedName name="Faculty_Host_ID">'Faculty List'!$A:$A</definedName>
    <definedName name="Param_AcademicOffice">Parameters!$B$8</definedName>
    <definedName name="Faculty_Email">'Faculty List'!$D:$D</definedName>
    <definedName name="Enrollment_Title">'Student Enrollments'!$AA:$AA</definedName>
    <definedName name="Faculty_First_Name">'Faculty List'!$B:$B</definedName>
    <definedName name="Param_StudentFolderNameFormat">Parameters!$B$5</definedName>
    <definedName name="Enrollment_CourseCode">'Student Enrollments'!$I:$I</definedName>
    <definedName name="Course_ID">'Course List'!$A$2</definedName>
    <definedName name="Faculty_Email_Label">'Faculty List'!$D$1</definedName>
    <definedName name="Course_Available">'Course List'!$L$2</definedName>
    <definedName name="Advisor_Email">'Advisor List'!$G:$G</definedName>
    <definedName name="CrossRegistered_Department">'Cross-registered Courses'!$C$3</definedName>
    <definedName name="Enrollment_Order">'Student Enrollments'!$V:$V</definedName>
    <definedName name="Student_Last_Name">'Student List'!$D:$D</definedName>
    <definedName name="Enrollment_Dropped">'Student Enrollments'!$O:$O</definedName>
    <definedName name="Course_Department">'Course List'!$N$2</definedName>
    <definedName name="Param_StudiesCommittee">Parameters!$B$9</definedName>
    <definedName name="Clean_AvailableCourses">'Available Courses'!$A$3</definedName>
    <definedName name="RollOver_CoursePlanPermissions">#REF!</definedName>
    <definedName name="Enrollment_BaseTitle">'Student Enrollments'!$U:$U</definedName>
    <definedName name="Param_AdvisorFolderNameFormat">Parameters!$B$6</definedName>
    <definedName name="Course_CrossRegistered">'Course List'!$M$2</definedName>
    <definedName name="Param_RollOverAcademicYear">Parameters!$B$12</definedName>
    <definedName name="Enrollment_CreditsAttempted">'Student Enrollments'!$R:$R</definedName>
    <definedName name="Advisor_Host_ID">'Advisor List'!$A:$A</definedName>
    <definedName name="CrossRegistered_CourseCode">'Cross-registered Courses'!$A$3</definedName>
    <definedName name="Label_StudentEmail">'Student List'!$B$1</definedName>
    <definedName name="IEH_EnrollmentHistory">'Individual Enrollment History'!$B$6:$F$16</definedName>
    <definedName name="Enrollment_Year">'Student Enrollments'!$F:$F</definedName>
    <definedName name="Student_Host_ID">'Student List'!$A:$A</definedName>
    <definedName name="Faculty_Last_Name">'Faculty List'!$C:$C</definedName>
    <definedName name="Grad_Year_Label">'Student List'!$E$1</definedName>
    <definedName name="Student_Host_ID_Label">'Student List'!$A$1</definedName>
    <definedName name="Enrollment_Enrolled">'Student Enrollments'!$N:$N</definedName>
    <definedName name="Enrollment_Type">#REF!</definedName>
    <definedName name="Param_NumOptionsPerDepartment">Parameters!$B$1</definedName>
    <definedName name="RollOver_StudentFolderPermissions">#REF!</definedName>
    <definedName name="Course_Plan_Host_ID">'Course Plan Inventory'!$A:$A</definedName>
    <definedName name="Enrollment_Annotation">'Student Enrollments'!$W:$Z</definedName>
    <definedName name="Faculty_First_Name_Label">'Faculty List'!$B$1</definedName>
    <definedName name="Param_NumComments">Parameters!$B$2</definedName>
    <definedName name="Enrollment_Term">'Student Enrollments'!$X:$X</definedName>
    <definedName name="Clean_IEH">'Individual Enrollment History'!$A$1:$A$2</definedName>
    <definedName name="Current_Advisor">'Advisor List'!$J:$J</definedName>
    <definedName hidden="1" localSheetId="2" name="_xlnm._FilterDatabase">'Available Courses'!$A$1:$F$3</definedName>
    <definedName hidden="1" localSheetId="3" name="_xlnm._FilterDatabase">'Cross-registered Courses'!$A$2:$P$3</definedName>
    <definedName hidden="1" localSheetId="5" name="_xlnm._FilterDatabase">'Student Folder Inventory'!$A$1:$K$2</definedName>
    <definedName hidden="1" localSheetId="6" name="_xlnm._FilterDatabase">'Advisor Folder Inventory'!$A$1:$F$2</definedName>
    <definedName hidden="1" localSheetId="11" name="_xlnm._FilterDatabase">'Advisor List'!$A$1:$J$2</definedName>
    <definedName hidden="1" localSheetId="14" name="_xlnm._FilterDatabase">'Student Enrollments'!$A$1:$AB$2</definedName>
    <definedName hidden="1" localSheetId="4" name="Z_6AD4D4A6_ED0D_40E6_8DEF_5D96ED6B85A3_.wvu.FilterData">'Course Plan Inventory'!$A$1:$S$2</definedName>
    <definedName hidden="1" localSheetId="9" name="Z_6AD4D4A6_ED0D_40E6_8DEF_5D96ED6B85A3_.wvu.FilterData">'Student List'!$A$1:$F$2</definedName>
    <definedName hidden="1" localSheetId="4" name="Z_3FBFD739_53C5_42AA_9D25_C0C9F903DD50_.wvu.FilterData">'Course Plan Inventory'!$A$1:$S$2</definedName>
    <definedName hidden="1" localSheetId="5" name="Z_3FBFD739_53C5_42AA_9D25_C0C9F903DD50_.wvu.FilterData">'Student Folder Inventory'!$A$1:$J$2</definedName>
    <definedName hidden="1" localSheetId="6" name="Z_3FBFD739_53C5_42AA_9D25_C0C9F903DD50_.wvu.FilterData">'Advisor Folder Inventory'!$A$1:$F$2</definedName>
    <definedName hidden="1" localSheetId="9" name="Z_3FBFD739_53C5_42AA_9D25_C0C9F903DD50_.wvu.FilterData">'Student List'!$A$1:$F$2</definedName>
  </definedNames>
  <calcPr/>
  <customWorkbookViews>
    <customWorkbookView activeSheetId="0" maximized="1" windowHeight="0" windowWidth="0" guid="{6AD4D4A6-ED0D-40E6-8DEF-5D96ED6B85A3}" name="Filter 2"/>
    <customWorkbookView activeSheetId="0" maximized="1" windowHeight="0" windowWidth="0" guid="{3FBFD739-53C5-42AA-9D25-C0C9F903DD5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"Student List" 9/19/2025, 2:51:14 PM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"Faculty List" 8/15/2025, 9:16:37 AM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"Advisor List" 9/9/2025, 1:24:22 PM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"Course List" 8/15/2025, 9:02:22 AM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Last updated from "Student Enrollments" 8/15/2025, 8:59:00 AM</t>
      </text>
    </comment>
  </commentList>
</comments>
</file>

<file path=xl/sharedStrings.xml><?xml version="1.0" encoding="utf-8"?>
<sst xmlns="http://schemas.openxmlformats.org/spreadsheetml/2006/main" count="141" uniqueCount="102">
  <si>
    <t>Cell Color Legend</t>
  </si>
  <si>
    <t>Data synced from Blackbaud</t>
  </si>
  <si>
    <t>Do not edit</t>
  </si>
  <si>
    <t>Data maintained by the Course Planning add-on</t>
  </si>
  <si>
    <t>Data calculated by formula</t>
  </si>
  <si>
    <t>and, most importantly…</t>
  </si>
  <si>
    <t>Data editable by users</t>
  </si>
  <si>
    <t>Number of Options per Department</t>
  </si>
  <si>
    <t>Number of Comments</t>
  </si>
  <si>
    <t>Student Name Format</t>
  </si>
  <si>
    <t>{{lastName}}, {{firstName}} ‘{{abbrevGradYear}}</t>
  </si>
  <si>
    <t>Form Folder Name Format</t>
  </si>
  <si>
    <t>Class of {{gradYear}}</t>
  </si>
  <si>
    <t>Student Folder Name Format</t>
  </si>
  <si>
    <t>{{lastName}}, {{firstName}} ‘{{abbrevGradYear}} - Course Planning</t>
  </si>
  <si>
    <t>Advisor Folder Name Format</t>
  </si>
  <si>
    <t>{{lastName}}, {{firstName}} - Advisee Course Plans</t>
  </si>
  <si>
    <t>Course Plan Name Format</t>
  </si>
  <si>
    <t>{{lastName}}, {{firstName}} ‘{{abbrevGradYear}} Course Plan</t>
  </si>
  <si>
    <t>Academic Office</t>
  </si>
  <si>
    <t>email@example.com</t>
  </si>
  <si>
    <t>Studies Committee</t>
  </si>
  <si>
    <t>College Counseling Office</t>
  </si>
  <si>
    <t>Course Plan Template</t>
  </si>
  <si>
    <t>Roll-over Academic Year</t>
  </si>
  <si>
    <t>2024-08-21T15:24:52.401Z</t>
  </si>
  <si>
    <t>Course ID</t>
  </si>
  <si>
    <t>Course Title (with term)</t>
  </si>
  <si>
    <t>Department</t>
  </si>
  <si>
    <t>Formatted Description</t>
  </si>
  <si>
    <t>Available</t>
  </si>
  <si>
    <t>Course Code</t>
  </si>
  <si>
    <t>Display Department</t>
  </si>
  <si>
    <t>Host ID</t>
  </si>
  <si>
    <t>Course Plan ID</t>
  </si>
  <si>
    <t>Course Plan URL</t>
  </si>
  <si>
    <t>Current Advisor</t>
  </si>
  <si>
    <t>Version</t>
  </si>
  <si>
    <t>Incomplete</t>
  </si>
  <si>
    <t>Student Folder ID</t>
  </si>
  <si>
    <t>Student Folder URL</t>
  </si>
  <si>
    <t>Current Shortcut Location</t>
  </si>
  <si>
    <t>Advisor Email</t>
  </si>
  <si>
    <t>Advisor Folder ID</t>
  </si>
  <si>
    <t>Advisor Folder URL</t>
  </si>
  <si>
    <t>ROOT</t>
  </si>
  <si>
    <t>FILE_ID</t>
  </si>
  <si>
    <t>https://drive.google.com/drive/folders/FOLDER_ID</t>
  </si>
  <si>
    <t>Form</t>
  </si>
  <si>
    <t>Form Folder ID</t>
  </si>
  <si>
    <t>Form Folder URL</t>
  </si>
  <si>
    <t>Folder ID</t>
  </si>
  <si>
    <t>Folder URL</t>
  </si>
  <si>
    <t>Student Email</t>
  </si>
  <si>
    <t>Student First Name</t>
  </si>
  <si>
    <t>Student Last Name</t>
  </si>
  <si>
    <t>Grad Year</t>
  </si>
  <si>
    <t>Preferred or First Name</t>
  </si>
  <si>
    <t>Last Name</t>
  </si>
  <si>
    <t>E-Mail</t>
  </si>
  <si>
    <t>Begin Date</t>
  </si>
  <si>
    <t>Advisor First Name</t>
  </si>
  <si>
    <t>Advisor Last Name</t>
  </si>
  <si>
    <t>Description</t>
  </si>
  <si>
    <t>Inactive</t>
  </si>
  <si>
    <t>Course Term</t>
  </si>
  <si>
    <t>Order</t>
  </si>
  <si>
    <t>Formatted Course Title</t>
  </si>
  <si>
    <t>English</t>
  </si>
  <si>
    <t>Mathematics and Computer Science</t>
  </si>
  <si>
    <t>World Language and Culture</t>
  </si>
  <si>
    <t>Classics</t>
  </si>
  <si>
    <t>Science</t>
  </si>
  <si>
    <t>Religious Studies and Philosophy</t>
  </si>
  <si>
    <t>History and Social Science</t>
  </si>
  <si>
    <t>Theater and Dance</t>
  </si>
  <si>
    <t>Visual Arts</t>
  </si>
  <si>
    <t>Music</t>
  </si>
  <si>
    <t>Non-Departmental</t>
  </si>
  <si>
    <t>First name</t>
  </si>
  <si>
    <t>School Year</t>
  </si>
  <si>
    <t>Term Description</t>
  </si>
  <si>
    <t>Course Title</t>
  </si>
  <si>
    <t>Group Identifier</t>
  </si>
  <si>
    <t>Term name</t>
  </si>
  <si>
    <t>Course Length</t>
  </si>
  <si>
    <t>Enrolled</t>
  </si>
  <si>
    <t>Dropped</t>
  </si>
  <si>
    <t>Changed Sections</t>
  </si>
  <si>
    <t>End Date</t>
  </si>
  <si>
    <t>Credits attempted</t>
  </si>
  <si>
    <t>Credits Earned</t>
  </si>
  <si>
    <t/>
  </si>
  <si>
    <t>audit</t>
  </si>
  <si>
    <t>Student</t>
  </si>
  <si>
    <t>Graduation Year</t>
  </si>
  <si>
    <t>Numerical Year</t>
  </si>
  <si>
    <t>II Form</t>
  </si>
  <si>
    <t>III Form</t>
  </si>
  <si>
    <t>IV Form</t>
  </si>
  <si>
    <t>V Form</t>
  </si>
  <si>
    <t>VI Form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</si>
</sst>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m/dd/yyyy h:mm:ss"/>
  </numFmts>
  <fonts count="13">
    <font>
      <sz val="10.0"/>
      <color rgb="FF000000"/>
      <name val="Arial"/>
      <scheme val="minor"/>
    </font>
    <font>
      <b/>
      <sz val="18.0"/>
      <color theme="1"/>
      <name val="Arial"/>
      <scheme val="minor"/>
    </font>
    <font>
      <color theme="1"/>
      <name val="Arial"/>
      <scheme val="minor"/>
    </font>
    <font>
      <b/>
      <color rgb="FFFFD966"/>
      <name val="Arial"/>
      <scheme val="minor"/>
    </font>
    <font>
      <sz val="7.0"/>
      <color theme="1"/>
      <name val="Arial"/>
      <scheme val="minor"/>
    </font>
    <font>
      <b/>
      <color theme="1"/>
      <name val="Arial"/>
      <scheme val="minor"/>
    </font>
    <font>
      <i/>
      <color rgb="FFB7B7B7"/>
      <name val="Arial"/>
      <scheme val="minor"/>
    </font>
    <font>
      <b/>
      <color rgb="FFCCCCCC"/>
      <name val="Arial"/>
      <scheme val="minor"/>
    </font>
    <font>
      <color rgb="FFCCCCCC"/>
      <name val="Arial"/>
      <scheme val="minor"/>
    </font>
    <font>
      <b/>
      <sz val="10.0"/>
      <color rgb="FF000000"/>
      <name val="Arial"/>
      <scheme val="minor"/>
    </font>
    <font>
      <u/>
      <color rgb="FF0000FF"/>
    </font>
    <font>
      <sz val="11.0"/>
      <color theme="1"/>
      <name val="Arial"/>
      <scheme val="minor"/>
    </font>
    <font>
      <b/>
      <sz val="11.0"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CCFDE"/>
        <bgColor rgb="FFFCCFDE"/>
      </patternFill>
    </fill>
    <fill>
      <patternFill patternType="solid">
        <fgColor rgb="FFFF0000"/>
        <bgColor rgb="FFFF0000"/>
      </patternFill>
    </fill>
    <fill>
      <patternFill patternType="solid">
        <fgColor rgb="FFE1ECFF"/>
        <bgColor rgb="FFE1ECFF"/>
      </patternFill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 vertical="center"/>
    </xf>
    <xf borderId="0" fillId="2" fontId="2" numFmtId="0" xfId="0" applyAlignment="1" applyFill="1" applyFont="1">
      <alignment readingOrder="0" vertical="center"/>
    </xf>
    <xf borderId="0" fillId="3" fontId="3" numFmtId="0" xfId="0" applyAlignment="1" applyFill="1" applyFont="1">
      <alignment horizontal="center" readingOrder="0" textRotation="180" vertical="center"/>
    </xf>
    <xf borderId="0" fillId="4" fontId="2" numFmtId="0" xfId="0" applyAlignment="1" applyFill="1" applyFont="1">
      <alignment readingOrder="0" vertical="center"/>
    </xf>
    <xf borderId="0" fillId="5" fontId="2" numFmtId="0" xfId="0" applyAlignment="1" applyFill="1" applyFont="1">
      <alignment readingOrder="0" vertical="center"/>
    </xf>
    <xf borderId="0" fillId="0" fontId="4" numFmtId="0" xfId="0" applyAlignment="1" applyFont="1">
      <alignment horizontal="center" readingOrder="0" vertical="center"/>
    </xf>
    <xf borderId="0" fillId="6" fontId="2" numFmtId="0" xfId="0" applyAlignment="1" applyFill="1" applyFont="1">
      <alignment readingOrder="0" vertical="center"/>
    </xf>
    <xf borderId="0" fillId="0" fontId="2" numFmtId="0" xfId="0" applyAlignment="1" applyFont="1">
      <alignment readingOrder="0" vertical="center"/>
    </xf>
    <xf borderId="0" fillId="4" fontId="5" numFmtId="0" xfId="0" applyAlignment="1" applyFont="1">
      <alignment readingOrder="0"/>
    </xf>
    <xf borderId="0" fillId="6" fontId="2" numFmtId="0" xfId="0" applyAlignment="1" applyFont="1">
      <alignment horizontal="left" readingOrder="0"/>
    </xf>
    <xf borderId="0" fillId="6" fontId="2" numFmtId="0" xfId="0" applyAlignment="1" applyFont="1">
      <alignment horizontal="left" readingOrder="0"/>
    </xf>
    <xf borderId="0" fillId="4" fontId="2" numFmtId="0" xfId="0" applyAlignment="1" applyFont="1">
      <alignment horizontal="left" readingOrder="0"/>
    </xf>
    <xf borderId="0" fillId="5" fontId="6" numFmtId="0" xfId="0" applyAlignment="1" applyFont="1">
      <alignment readingOrder="0" shrinkToFit="0" vertical="center" wrapText="1"/>
    </xf>
    <xf borderId="0" fillId="5" fontId="5" numFmtId="0" xfId="0" applyAlignment="1" applyFont="1">
      <alignment readingOrder="0" vertical="center"/>
    </xf>
    <xf borderId="0" fillId="5" fontId="5" numFmtId="0" xfId="0" applyAlignment="1" applyFont="1">
      <alignment vertical="center"/>
    </xf>
    <xf borderId="0" fillId="5" fontId="5" numFmtId="0" xfId="0" applyAlignment="1" applyFont="1">
      <alignment readingOrder="0" vertical="center"/>
    </xf>
    <xf borderId="0" fillId="2" fontId="2" numFmtId="0" xfId="0" applyAlignment="1" applyFont="1">
      <alignment readingOrder="0" vertical="center"/>
    </xf>
    <xf borderId="0" fillId="5" fontId="2" numFmtId="0" xfId="0" applyAlignment="1" applyFont="1">
      <alignment vertical="center"/>
    </xf>
    <xf borderId="0" fillId="5" fontId="6" numFmtId="0" xfId="0" applyAlignment="1" applyFont="1">
      <alignment readingOrder="0" shrinkToFit="0" wrapText="1"/>
    </xf>
    <xf borderId="0" fillId="5" fontId="6" numFmtId="0" xfId="0" applyFont="1"/>
    <xf borderId="0" fillId="7" fontId="5" numFmtId="0" xfId="0" applyAlignment="1" applyFill="1" applyFont="1">
      <alignment readingOrder="0"/>
    </xf>
    <xf borderId="0" fillId="5" fontId="5" numFmtId="0" xfId="0" applyAlignment="1" applyFont="1">
      <alignment readingOrder="0"/>
    </xf>
    <xf borderId="0" fillId="6" fontId="5" numFmtId="0" xfId="0" applyAlignment="1" applyFont="1">
      <alignment readingOrder="0"/>
    </xf>
    <xf borderId="0" fillId="5" fontId="7" numFmtId="0" xfId="0" applyFont="1"/>
    <xf borderId="0" fillId="7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6" fontId="2" numFmtId="0" xfId="0" applyAlignment="1" applyFont="1">
      <alignment readingOrder="0"/>
    </xf>
    <xf borderId="0" fillId="5" fontId="8" numFmtId="0" xfId="0" applyFont="1"/>
    <xf borderId="0" fillId="4" fontId="5" numFmtId="0" xfId="0" applyAlignment="1" applyFont="1">
      <alignment readingOrder="0" shrinkToFit="0" vertical="top" wrapText="1"/>
    </xf>
    <xf borderId="0" fillId="5" fontId="5" numFmtId="0" xfId="0" applyAlignment="1" applyFont="1">
      <alignment readingOrder="0" shrinkToFit="0" vertical="top" wrapText="1"/>
    </xf>
    <xf borderId="0" fillId="5" fontId="9" numFmtId="0" xfId="0" applyAlignment="1" applyFont="1">
      <alignment shrinkToFit="0" vertical="top" wrapText="1"/>
    </xf>
    <xf borderId="0" fillId="5" fontId="5" numFmtId="164" xfId="0" applyAlignment="1" applyFont="1" applyNumberFormat="1">
      <alignment horizontal="left" readingOrder="0" shrinkToFit="0" vertical="top" wrapText="1"/>
    </xf>
    <xf borderId="0" fillId="8" fontId="5" numFmtId="0" xfId="0" applyAlignment="1" applyFill="1" applyFont="1">
      <alignment readingOrder="0" shrinkToFit="0" vertical="top" wrapText="1"/>
    </xf>
    <xf borderId="0" fillId="4" fontId="2" numFmtId="0" xfId="0" applyAlignment="1" applyFont="1">
      <alignment readingOrder="0"/>
    </xf>
    <xf borderId="0" fillId="4" fontId="2" numFmtId="0" xfId="0" applyAlignment="1" applyFont="1">
      <alignment readingOrder="0"/>
    </xf>
    <xf borderId="0" fillId="5" fontId="2" numFmtId="0" xfId="0" applyAlignment="1" applyFont="1">
      <alignment readingOrder="0"/>
    </xf>
    <xf borderId="0" fillId="5" fontId="2" numFmtId="164" xfId="0" applyAlignment="1" applyFont="1" applyNumberFormat="1">
      <alignment horizontal="left" readingOrder="0"/>
    </xf>
    <xf borderId="0" fillId="5" fontId="2" numFmtId="0" xfId="0" applyFont="1"/>
    <xf borderId="0" fillId="8" fontId="2" numFmtId="0" xfId="0" applyFont="1"/>
    <xf borderId="0" fillId="5" fontId="5" numFmtId="0" xfId="0" applyAlignment="1" applyFont="1">
      <alignment shrinkToFit="0" vertical="top" wrapText="1"/>
    </xf>
    <xf borderId="0" fillId="4" fontId="2" numFmtId="0" xfId="0" applyFont="1"/>
    <xf borderId="0" fillId="4" fontId="10" numFmtId="0" xfId="0" applyAlignment="1" applyFont="1">
      <alignment readingOrder="0"/>
    </xf>
    <xf borderId="0" fillId="2" fontId="5" numFmtId="0" xfId="0" applyAlignment="1" applyFont="1">
      <alignment readingOrder="0" shrinkToFit="0" vertical="top" wrapText="1"/>
    </xf>
    <xf borderId="0" fillId="2" fontId="2" numFmtId="0" xfId="0" applyAlignment="1" applyFont="1">
      <alignment readingOrder="0"/>
    </xf>
    <xf borderId="0" fillId="2" fontId="5" numFmtId="0" xfId="0" applyAlignment="1" applyFont="1">
      <alignment readingOrder="0"/>
    </xf>
    <xf borderId="0" fillId="2" fontId="5" numFmtId="0" xfId="0" applyAlignment="1" applyFont="1">
      <alignment horizontal="right" readingOrder="0" shrinkToFit="0" vertical="top" wrapText="1"/>
    </xf>
    <xf borderId="0" fillId="2" fontId="2" numFmtId="165" xfId="0" applyAlignment="1" applyFont="1" applyNumberFormat="1">
      <alignment readingOrder="0"/>
    </xf>
    <xf borderId="0" fillId="2" fontId="5" numFmtId="0" xfId="0" applyAlignment="1" applyFont="1">
      <alignment horizontal="right" readingOrder="0"/>
    </xf>
    <xf borderId="0" fillId="5" fontId="5" numFmtId="0" xfId="0" applyAlignment="1" applyFont="1">
      <alignment readingOrder="0" shrinkToFit="0" wrapText="0"/>
    </xf>
    <xf borderId="0" fillId="5" fontId="2" numFmtId="0" xfId="0" applyAlignment="1" applyFont="1">
      <alignment shrinkToFit="0" wrapText="0"/>
    </xf>
    <xf borderId="0" fillId="2" fontId="5" numFmtId="0" xfId="0" applyAlignment="1" applyFont="1">
      <alignment horizontal="right" readingOrder="0" shrinkToFit="0" wrapText="1"/>
    </xf>
    <xf borderId="0" fillId="2" fontId="5" numFmtId="0" xfId="0" applyAlignment="1" applyFont="1">
      <alignment readingOrder="0" shrinkToFit="0" wrapText="1"/>
    </xf>
    <xf borderId="0" fillId="5" fontId="5" numFmtId="0" xfId="0" applyAlignment="1" applyFont="1">
      <alignment readingOrder="0" shrinkToFit="0" wrapText="1"/>
    </xf>
    <xf borderId="0" fillId="5" fontId="2" numFmtId="0" xfId="0" applyAlignment="1" applyFont="1">
      <alignment readingOrder="0" shrinkToFit="0" wrapText="1"/>
    </xf>
    <xf borderId="0" fillId="6" fontId="11" numFmtId="0" xfId="0" applyAlignment="1" applyFont="1">
      <alignment horizontal="right" readingOrder="0" shrinkToFit="0" vertical="top" wrapText="0"/>
    </xf>
    <xf borderId="1" fillId="0" fontId="12" numFmtId="0" xfId="0" applyAlignment="1" applyBorder="1" applyFont="1">
      <alignment readingOrder="0" shrinkToFit="0" vertical="top" wrapText="0"/>
    </xf>
    <xf borderId="0" fillId="0" fontId="11" numFmtId="0" xfId="0" applyAlignment="1" applyFont="1">
      <alignment shrinkToFit="0" vertical="top" wrapText="0"/>
    </xf>
    <xf borderId="0" fillId="4" fontId="11" numFmtId="0" xfId="0" applyAlignment="1" applyFont="1">
      <alignment readingOrder="0" shrinkToFit="0" vertical="top" wrapText="0"/>
    </xf>
    <xf borderId="2" fillId="5" fontId="11" numFmtId="0" xfId="0" applyAlignment="1" applyBorder="1" applyFont="1">
      <alignment shrinkToFit="0" vertical="top" wrapText="0"/>
    </xf>
    <xf borderId="3" fillId="0" fontId="12" numFmtId="0" xfId="0" applyAlignment="1" applyBorder="1" applyFont="1">
      <alignment horizontal="right" readingOrder="0" shrinkToFit="0" vertical="top" wrapText="1"/>
    </xf>
    <xf borderId="4" fillId="5" fontId="11" numFmtId="0" xfId="0" applyAlignment="1" applyBorder="1" applyFont="1">
      <alignment readingOrder="0" shrinkToFit="0" vertical="top" wrapText="1"/>
    </xf>
    <xf borderId="5" fillId="5" fontId="11" numFmtId="0" xfId="0" applyAlignment="1" applyBorder="1" applyFont="1">
      <alignment readingOrder="0" shrinkToFit="0" vertical="top" wrapText="1"/>
    </xf>
    <xf borderId="6" fillId="5" fontId="11" numFmtId="0" xfId="0" applyAlignment="1" applyBorder="1" applyFont="1">
      <alignment readingOrder="0" shrinkToFit="0" vertical="top" wrapText="1"/>
    </xf>
    <xf borderId="0" fillId="0" fontId="11" numFmtId="0" xfId="0" applyAlignment="1" applyFont="1">
      <alignment shrinkToFit="0" vertical="top" wrapText="1"/>
    </xf>
    <xf borderId="0" fillId="0" fontId="11" numFmtId="0" xfId="0" applyAlignment="1" applyFont="1">
      <alignment readingOrder="0" shrinkToFit="0" vertical="top" wrapText="1"/>
    </xf>
    <xf borderId="0" fillId="5" fontId="11" numFmtId="0" xfId="0" applyAlignment="1" applyFont="1">
      <alignment readingOrder="0" shrinkToFit="0" vertical="top" wrapText="1"/>
    </xf>
    <xf borderId="0" fillId="0" fontId="11" numFmtId="0" xfId="0" applyAlignment="1" applyFont="1">
      <alignment readingOrder="0" shrinkToFit="0" vertical="center" wrapText="1"/>
    </xf>
    <xf borderId="0" fillId="5" fontId="11" numFmtId="0" xfId="0" applyAlignment="1" applyFont="1">
      <alignment shrinkToFit="0" vertical="center" wrapText="1"/>
    </xf>
  </cellXfs>
  <cellStyles count="1">
    <cellStyle xfId="0" name="Normal" builtinId="0"/>
  </cellStyles>
  <dxfs count="9">
    <dxf>
      <font>
        <b/>
        <color rgb="FFFFD966"/>
      </font>
      <fill>
        <patternFill patternType="solid">
          <fgColor rgb="FFCC0000"/>
          <bgColor rgb="FFCC0000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D966"/>
          <bgColor rgb="FFFFD966"/>
        </patternFill>
      </fill>
      <border/>
    </dxf>
    <dxf>
      <font>
        <b/>
        <color rgb="FFFF0000"/>
      </font>
      <fill>
        <patternFill patternType="solid">
          <fgColor rgb="FFFFD966"/>
          <bgColor rgb="FFFFD966"/>
        </patternFill>
      </fill>
      <border/>
    </dxf>
    <dxf>
      <font>
        <b/>
        <color rgb="FFFFFF00"/>
      </font>
      <fill>
        <patternFill patternType="solid">
          <fgColor rgb="FFFF0000"/>
          <bgColor rgb="FFFF0000"/>
        </patternFill>
      </fill>
      <border/>
    </dxf>
    <dxf>
      <font>
        <color rgb="FFD9D9D9"/>
      </font>
      <fill>
        <patternFill patternType="none"/>
      </fill>
      <border/>
    </dxf>
    <dxf>
      <font>
        <color rgb="FFFFFFFF"/>
      </font>
      <fill>
        <patternFill patternType="solid">
          <fgColor rgb="FF666666"/>
          <bgColor rgb="FF666666"/>
        </patternFill>
      </fill>
      <border/>
    </dxf>
    <dxf>
      <font>
        <color rgb="FFFFFF00"/>
      </font>
      <fill>
        <patternFill patternType="solid">
          <fgColor rgb="FFFF0000"/>
          <bgColor rgb="FFFF0000"/>
        </patternFill>
      </fill>
      <border/>
    </dxf>
    <dxf>
      <font>
        <color rgb="FFCCCCCC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hyperlink" Target="https://drive.google.com/drive/folders/FOLDER_ID" TargetMode="External"/><Relationship Id="rId2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1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11.xml"/><Relationship Id="rId3" Type="http://schemas.openxmlformats.org/officeDocument/2006/relationships/vmlDrawing" Target="../drawings/vmlDrawing2.v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2.xml"/><Relationship Id="rId3" Type="http://schemas.openxmlformats.org/officeDocument/2006/relationships/vmlDrawing" Target="../drawings/vmlDrawing3.v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13.xml"/><Relationship Id="rId3" Type="http://schemas.openxmlformats.org/officeDocument/2006/relationships/vmlDrawing" Target="../drawings/vmlDrawing4.v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5.xml"/><Relationship Id="rId3" Type="http://schemas.openxmlformats.org/officeDocument/2006/relationships/vmlDrawing" Target="../drawings/vmlDrawing5.v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6.63"/>
    <col customWidth="1" min="2" max="2" width="3.63"/>
  </cols>
  <sheetData>
    <row r="1">
      <c r="A1" s="1" t="s">
        <v>0</v>
      </c>
      <c r="B1" s="1"/>
    </row>
    <row r="2" ht="23.25" customHeight="1">
      <c r="A2" s="2" t="s">
        <v>1</v>
      </c>
      <c r="B2" s="3" t="s">
        <v>2</v>
      </c>
    </row>
    <row r="3" ht="23.25" customHeight="1">
      <c r="A3" s="4" t="s">
        <v>3</v>
      </c>
    </row>
    <row r="4" ht="23.25" customHeight="1">
      <c r="A4" s="5" t="s">
        <v>4</v>
      </c>
    </row>
    <row r="5">
      <c r="A5" s="6" t="s">
        <v>5</v>
      </c>
      <c r="B5" s="6"/>
    </row>
    <row r="6">
      <c r="A6" s="7" t="s">
        <v>6</v>
      </c>
      <c r="B6" s="8"/>
    </row>
  </sheetData>
  <mergeCells count="1">
    <mergeCell ref="B2:B4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8.88"/>
    <col customWidth="1" min="2" max="2" width="47.38"/>
  </cols>
  <sheetData>
    <row r="1">
      <c r="A1" s="9" t="s">
        <v>7</v>
      </c>
      <c r="B1" s="10">
        <v>4.0</v>
      </c>
    </row>
    <row r="2">
      <c r="A2" s="9" t="s">
        <v>8</v>
      </c>
      <c r="B2" s="10">
        <v>6.0</v>
      </c>
    </row>
    <row r="3">
      <c r="A3" s="9" t="s">
        <v>9</v>
      </c>
      <c r="B3" s="10" t="s">
        <v>10</v>
      </c>
    </row>
    <row r="4">
      <c r="A4" s="9" t="s">
        <v>11</v>
      </c>
      <c r="B4" s="10" t="s">
        <v>12</v>
      </c>
    </row>
    <row r="5">
      <c r="A5" s="9" t="s">
        <v>13</v>
      </c>
      <c r="B5" s="10" t="s">
        <v>14</v>
      </c>
    </row>
    <row r="6">
      <c r="A6" s="9" t="s">
        <v>15</v>
      </c>
      <c r="B6" s="10" t="s">
        <v>16</v>
      </c>
    </row>
    <row r="7">
      <c r="A7" s="9" t="s">
        <v>17</v>
      </c>
      <c r="B7" s="10" t="s">
        <v>18</v>
      </c>
    </row>
    <row r="8">
      <c r="A8" s="9" t="s">
        <v>19</v>
      </c>
      <c r="B8" s="10" t="s">
        <v>20</v>
      </c>
    </row>
    <row r="9">
      <c r="A9" s="9" t="s">
        <v>21</v>
      </c>
      <c r="B9" s="10"/>
    </row>
    <row r="10">
      <c r="A10" s="9" t="s">
        <v>22</v>
      </c>
      <c r="B10" s="10"/>
    </row>
    <row r="11">
      <c r="A11" s="9" t="s">
        <v>23</v>
      </c>
      <c r="B11" s="11"/>
    </row>
    <row r="12">
      <c r="A12" s="9" t="s">
        <v>24</v>
      </c>
      <c r="B12" s="12" t="s">
        <v>25</v>
      </c>
    </row>
  </sheetData>
  <dataValidations>
    <dataValidation type="custom" allowBlank="1" showDropDown="1" sqref="B11">
      <formula1>IFERROR(ISURL(B11), true)</formula1>
    </dataValidation>
    <dataValidation type="custom" allowBlank="1" showDropDown="1" sqref="B3:B7">
      <formula1>NOT(ISERROR(SEARCH(("{{"),(B3))))</formula1>
    </dataValidation>
    <dataValidation type="decimal" operator="greaterThan" allowBlank="1" showDropDown="1" showErrorMessage="1" sqref="B1">
      <formula1>1.0</formula1>
    </dataValidation>
    <dataValidation type="decimal" operator="greaterThan" allowBlank="1" showDropDown="1" showErrorMessage="1" sqref="B2">
      <formula1>2.0</formula1>
    </dataValidation>
    <dataValidation type="custom" allowBlank="1" showDropDown="1" sqref="B12">
      <formula1>OR(NOT(ISERROR(DATEVALUE(B12))), AND(ISNUMBER(B12), LEFT(CELL("format", B12))="D"))</formula1>
    </dataValidation>
    <dataValidation type="custom" allowBlank="1" showDropDown="1" showErrorMessage="1" sqref="B8:B10">
      <formula1>IFERROR(ISEMAIL(B8), true)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8.88"/>
    <col customWidth="1" min="2" max="2" width="11.38"/>
    <col customWidth="1" min="3" max="3" width="37.38"/>
    <col customWidth="1" min="4" max="4" width="27.88"/>
    <col customWidth="1" min="5" max="5" width="47.0"/>
  </cols>
  <sheetData>
    <row r="1">
      <c r="A1" s="13" t="str">
        <f>IFERROR(__xludf.DUMMYFUNCTION("ifna(""Missing: ""&amp;join("", "",filter(Course_Title,isna(Course_Available))),""All courses synced from Blackbaud are shown in this list. Scan the list for red/yellow highlighted duplicates if necessary."")"),"Missing: ")</f>
        <v>Missing: </v>
      </c>
    </row>
    <row r="2" ht="15.75" customHeight="1">
      <c r="A2" s="14" t="s">
        <v>26</v>
      </c>
      <c r="B2" s="15" t="str">
        <f t="array" ref="B2:E3">vlookup($A2:$A3,{'Course List'!$A:$D,'Course List'!$K:$K},column(B:E),false)</f>
        <v>Course Code</v>
      </c>
      <c r="C2" s="15" t="s">
        <v>27</v>
      </c>
      <c r="D2" s="15" t="s">
        <v>28</v>
      </c>
      <c r="E2" s="15" t="s">
        <v>29</v>
      </c>
      <c r="F2" s="16" t="s">
        <v>30</v>
      </c>
    </row>
    <row r="3" ht="15.75" customHeight="1">
      <c r="A3" s="17"/>
      <c r="B3" s="18" t="e">
        <v>#N/A</v>
      </c>
      <c r="C3" s="18" t="e">
        <v>#N/A</v>
      </c>
      <c r="D3" s="18" t="e">
        <v>#N/A</v>
      </c>
      <c r="E3" s="18" t="e">
        <v>#N/A</v>
      </c>
      <c r="F3" s="7" t="b">
        <v>0</v>
      </c>
    </row>
  </sheetData>
  <autoFilter ref="$A$1:$F$3"/>
  <mergeCells count="1">
    <mergeCell ref="A1:F1"/>
  </mergeCells>
  <conditionalFormatting sqref="A1:F1">
    <cfRule type="expression" dxfId="0" priority="1">
      <formula>left($A1,7)="Missing"</formula>
    </cfRule>
  </conditionalFormatting>
  <conditionalFormatting sqref="A3:F3">
    <cfRule type="expression" dxfId="1" priority="2">
      <formula>and(countif($A$1:$A2,$A3),not($F3))</formula>
    </cfRule>
  </conditionalFormatting>
  <conditionalFormatting sqref="A3:F3">
    <cfRule type="expression" dxfId="2" priority="3">
      <formula>and(countif($A$1:$A2,$A3),$F3)</formula>
    </cfRule>
  </conditionalFormatting>
  <conditionalFormatting sqref="A3:F3">
    <cfRule type="expression" dxfId="3" priority="4">
      <formula>isna($B3)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2" max="2" width="31.63"/>
    <col customWidth="1" min="3" max="3" width="25.75"/>
    <col customWidth="1" min="4" max="4" width="20.88"/>
    <col customWidth="1" min="5" max="16" width="25.75"/>
  </cols>
  <sheetData>
    <row r="1">
      <c r="A1" s="19" t="str">
        <f>IFERROR(__xludf.DUMMYFUNCTION("ifna(""Missing: ""&amp;join("", "",sort(unique(filter(Course_Code,isna(Course_Department))))),""All detected cross-registered courses are shown in this list."")"),"All detected cross-registered courses are shown in this list.")</f>
        <v>All detected cross-registered courses are shown in this list.</v>
      </c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</row>
    <row r="2">
      <c r="A2" s="21" t="s">
        <v>31</v>
      </c>
      <c r="B2" s="22" t="str">
        <f t="array" ref="B2:B3">if(row(B2:B3)=2,"Course Title",vlookup(A2:A3,'Course List'!B:C,2,false))</f>
        <v>Course Title</v>
      </c>
      <c r="C2" s="23" t="s">
        <v>32</v>
      </c>
      <c r="D2" s="24" t="str">
        <f>IFERROR(__xludf.DUMMYFUNCTION("byrow(A2:A3,lambda(code,if(code=""Course Code"",""Registered Departments"",if(code&lt;&gt;"""",transpose(sort(unique(filter('Course List'!D:D,'Course List'!B:B=code)))),))))"),"Registered Departments")</f>
        <v>Registered Departments</v>
      </c>
      <c r="E2" s="24"/>
      <c r="F2" s="24"/>
      <c r="G2" s="24"/>
      <c r="H2" s="24"/>
      <c r="I2" s="24"/>
      <c r="J2" s="24"/>
      <c r="K2" s="24"/>
      <c r="L2" s="24"/>
      <c r="M2" s="24"/>
      <c r="N2" s="24"/>
      <c r="O2" s="24"/>
      <c r="P2" s="24"/>
    </row>
    <row r="3">
      <c r="A3" s="25"/>
      <c r="B3" s="26" t="e">
        <v>#N/A</v>
      </c>
      <c r="C3" s="27"/>
      <c r="D3" s="28"/>
      <c r="E3" s="28"/>
      <c r="F3" s="28"/>
      <c r="G3" s="28"/>
      <c r="H3" s="28"/>
      <c r="I3" s="28"/>
      <c r="J3" s="28"/>
      <c r="K3" s="28"/>
      <c r="L3" s="28"/>
      <c r="M3" s="28"/>
      <c r="N3" s="28"/>
      <c r="O3" s="28"/>
      <c r="P3" s="28"/>
    </row>
  </sheetData>
  <autoFilter ref="$A$2:$P$3">
    <sortState ref="A2:P3">
      <sortCondition ref="A2:A3"/>
    </sortState>
  </autoFilter>
  <mergeCells count="1">
    <mergeCell ref="A1:C1"/>
  </mergeCells>
  <conditionalFormatting sqref="A1:C1">
    <cfRule type="containsText" dxfId="4" priority="1" operator="containsText" text="Missing">
      <formula>NOT(ISERROR(SEARCH(("Missing"),(A1))))</formula>
    </cfRule>
  </conditionalFormatting>
  <dataValidations>
    <dataValidation type="list" allowBlank="1" showErrorMessage="1" sqref="C3">
      <formula1>D3:P3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9.5"/>
    <col customWidth="1" min="3" max="3" width="11.38"/>
    <col customWidth="1" min="4" max="4" width="10.13"/>
    <col customWidth="1" min="7" max="7" width="7.63"/>
    <col customWidth="1" min="8" max="8" width="11.25"/>
    <col customWidth="1" min="9" max="9" width="9.88"/>
    <col customWidth="1" min="10" max="10" width="12.25"/>
    <col customWidth="1" min="11" max="11" width="13.25"/>
    <col customWidth="1" min="12" max="12" width="10.63"/>
    <col customWidth="1" min="13" max="13" width="11.13"/>
    <col customWidth="1" min="14" max="14" width="13.25"/>
    <col customWidth="1" min="15" max="15" width="9.63"/>
    <col customWidth="1" min="16" max="17" width="9.88"/>
    <col customWidth="1" min="18" max="18" width="9.63"/>
    <col customWidth="1" min="19" max="19" width="12.38"/>
  </cols>
  <sheetData>
    <row r="1">
      <c r="A1" s="29" t="s">
        <v>33</v>
      </c>
      <c r="B1" s="29" t="s">
        <v>34</v>
      </c>
      <c r="C1" s="29" t="s">
        <v>35</v>
      </c>
      <c r="D1" s="30" t="str">
        <f t="array" ref="D1:D2">ifna(if(row(E:E)=1,Label_StudentEmail,ifna(xlookup(Course_Plan_Host_ID,Student_Host_ID,StudentList_StudentEmail),)),"")</f>
        <v>Student Email</v>
      </c>
      <c r="E1" s="30" t="str">
        <f t="array" ref="E1:E2">ifna(if(row(F:F)=1,Label_StudentFirstName,ifna(xlookup(Course_Plan_Host_ID,Student_Host_ID,Student_First_Name),)),"")</f>
        <v>Student First Name</v>
      </c>
      <c r="F1" s="30" t="str">
        <f t="array" ref="F1:F2">ifna(if(row(G:G)=1,Student_Last_Name_Label,ifna(xlookup(Course_Plan_Host_ID,Student_Host_ID,Student_Last_Name),)),"")</f>
        <v>Student Last Name</v>
      </c>
      <c r="G1" s="30" t="str">
        <f t="array" ref="G1:G2">ifna(if(row(H:H)=1,Grad_Year_Label,ifna(xlookup(Course_Plan_Host_ID,Student_Host_ID,Grad_Year),)),"")</f>
        <v>Grad Year</v>
      </c>
      <c r="H1" s="31" t="str">
        <f t="array" ref="H1:H2">ifna(if(row(H:H)=1,'Student Folder Inventory'!B1,vlookup($A:$A,'Student Folder Inventory'!$A:$B,2,false)),)</f>
        <v>Student Folder ID</v>
      </c>
      <c r="I1" s="32" t="str">
        <f t="array" ref="I1:I2">if(row(J:J)=1,'Advisor List'!G1,ifna(xlookup(A:A,'Advisor List'!A:A,'Advisor List'!G:G),))</f>
        <v>Advisor Email</v>
      </c>
      <c r="J1" s="30" t="str">
        <f t="array" ref="J1:J2">if(row(J:J)=1,'Advisor List'!G1,ifna(xlookup(A:A,'Advisor List'!A:A,'Advisor List'!G:G),))</f>
        <v>Advisor Email</v>
      </c>
      <c r="K1" s="30" t="str">
        <f t="array" ref="K1:K2">ifna(if(row(K:K)=1,'Advisor List'!I1,ifna(vlookup($A:$A,'Advisor List'!$A:$I,COLUMN()-3,false),)),)</f>
        <v>Advisor Last Name</v>
      </c>
      <c r="L1" s="30" t="str">
        <f t="array" ref="L1:L2">ifna(if(row(L:L)=1,'Advisor Folder Inventory'!B1,vlookup($I:$I,'Advisor Folder Inventory'!$A:$B,2,false)),)</f>
        <v>Advisor Folder ID</v>
      </c>
      <c r="M1" s="30" t="str">
        <f t="array" ref="M1:M2">ifna(if(row(M:M)=1,'Plans Form Folder Inventory'!B1,vlookup($G:$G,'Plans Form Folder Inventory'!$A:$B,2,false)),)</f>
        <v>Form Folder ID</v>
      </c>
      <c r="N1" s="29" t="s">
        <v>7</v>
      </c>
      <c r="O1" s="30" t="str">
        <f t="array" ref="O1:O2">if(row(O:O)=1,"Inactive", isna(vlookup(A:A,'Student List'!A:A,1,false)))</f>
        <v>Inactive</v>
      </c>
      <c r="P1" s="30" t="str">
        <f t="array" ref="P1:P2">if(row(P:P)=1,"New Advisor",J:J&lt;&gt;Q:Q)</f>
        <v>New Advisor</v>
      </c>
      <c r="Q1" s="33" t="s">
        <v>36</v>
      </c>
      <c r="R1" s="29" t="s">
        <v>37</v>
      </c>
      <c r="S1" s="29" t="s">
        <v>38</v>
      </c>
    </row>
    <row r="2">
      <c r="A2" s="34"/>
      <c r="B2" s="34"/>
      <c r="C2" s="35"/>
      <c r="D2" s="36"/>
      <c r="E2" s="36"/>
      <c r="F2" s="36"/>
      <c r="G2" s="36"/>
      <c r="H2" s="36"/>
      <c r="I2" s="37"/>
      <c r="J2" s="36"/>
      <c r="K2" s="36"/>
      <c r="L2" s="36"/>
      <c r="M2" s="36"/>
      <c r="N2" s="35"/>
      <c r="O2" s="38" t="b">
        <v>1</v>
      </c>
      <c r="P2" s="38" t="b">
        <v>0</v>
      </c>
      <c r="Q2" s="39"/>
      <c r="R2" s="34"/>
      <c r="S2" s="34" t="b">
        <v>0</v>
      </c>
    </row>
  </sheetData>
  <customSheetViews>
    <customSheetView guid="{6AD4D4A6-ED0D-40E6-8DEF-5D96ED6B85A3}" filter="1" showAutoFilter="1">
      <autoFilter ref="$A$1:$S$2">
        <filterColumn colId="14">
          <filters>
            <filter val="TRUE"/>
          </filters>
        </filterColumn>
      </autoFilter>
    </customSheetView>
    <customSheetView guid="{3FBFD739-53C5-42AA-9D25-C0C9F903DD50}" filter="1" showAutoFilter="1">
      <autoFilter ref="$A$1:$S$2">
        <filterColumn colId="6">
          <filters/>
        </filterColumn>
      </autoFilter>
    </customSheetView>
  </customSheetViews>
  <conditionalFormatting sqref="O2:Q2">
    <cfRule type="cellIs" dxfId="5" priority="1" operator="equal">
      <formula>"FALSE"</formula>
    </cfRule>
  </conditionalFormatting>
  <conditionalFormatting sqref="O2:Q2">
    <cfRule type="cellIs" dxfId="6" priority="2" operator="equal">
      <formula>"TRUE"</formula>
    </cfRule>
  </conditionalFormatting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7.13"/>
    <col customWidth="1" min="2" max="2" width="11.63"/>
    <col customWidth="1" min="3" max="3" width="8.63"/>
    <col customWidth="1" min="4" max="4" width="9.75"/>
    <col customWidth="1" min="5" max="5" width="12.5"/>
    <col customWidth="1" min="6" max="6" width="17.88"/>
    <col customWidth="1" min="7" max="7" width="7.63"/>
    <col customWidth="1" min="8" max="9" width="7.25"/>
    <col customWidth="1" min="10" max="10" width="22.75"/>
    <col customWidth="1" min="11" max="11" width="18.13"/>
  </cols>
  <sheetData>
    <row r="1">
      <c r="A1" s="29" t="s">
        <v>33</v>
      </c>
      <c r="B1" s="29" t="s">
        <v>39</v>
      </c>
      <c r="C1" s="29" t="s">
        <v>40</v>
      </c>
      <c r="D1" s="40" t="str">
        <f t="array" ref="D1:D2">ifna(if(row(E:E)=1,'Student List'!B1,ifna(xlookup($A:$A,'Student List'!$A:$A,'Student List'!B:B),)),"")</f>
        <v>Student Email</v>
      </c>
      <c r="E1" s="40" t="str">
        <f t="array" ref="E1:E2">ifna(if(row(F:F)=1,'Student List'!C1,ifna(xlookup($A:$A,'Student List'!$A:$A,'Student List'!C:C),)),"")</f>
        <v>Student First Name</v>
      </c>
      <c r="F1" s="40" t="str">
        <f t="array" ref="F1:F2">ifna(if(row(H:H)=1,'Student List'!D1,ifna(xlookup($A:$A,'Student List'!$A:$A,'Student List'!D:D),)),"")</f>
        <v>Student Last Name</v>
      </c>
      <c r="G1" s="40" t="str">
        <f t="array" ref="G1:G2">ifna(if(row(J:J)=1,'Student List'!E1,ifna(xlookup($A:$A,'Student List'!$A:$A,'Student List'!E:E),)),"")</f>
        <v>Grad Year</v>
      </c>
      <c r="H1" s="30" t="str">
        <f t="array" ref="H1:H2">if(row(H:H)=1,"Inactive",isna(vlookup(A:A,'Student List'!A:A,1,false)))</f>
        <v>Inactive</v>
      </c>
      <c r="I1" s="30" t="str">
        <f t="array" ref="I1:I2">if(row(I:I)=1,"New Advisor",J:J&lt;&gt;K:K)</f>
        <v>New Advisor</v>
      </c>
      <c r="J1" s="30" t="str">
        <f t="array" ref="J1:J2">if(row(J:J)=1,"Current Advisor",ifna(xlookup(A:A,'Advisor List'!A:A,'Advisor List'!G:G),))</f>
        <v>Current Advisor</v>
      </c>
      <c r="K1" s="29" t="s">
        <v>41</v>
      </c>
    </row>
    <row r="2">
      <c r="A2" s="34"/>
      <c r="B2" s="34"/>
      <c r="C2" s="34"/>
      <c r="D2" s="38"/>
      <c r="E2" s="38"/>
      <c r="F2" s="38"/>
      <c r="G2" s="38"/>
      <c r="H2" s="38" t="b">
        <v>1</v>
      </c>
      <c r="I2" s="38" t="b">
        <v>0</v>
      </c>
      <c r="J2" s="38"/>
      <c r="K2" s="41"/>
    </row>
  </sheetData>
  <autoFilter ref="$A$1:$K$2">
    <sortState ref="A1:K2">
      <sortCondition descending="1" ref="B1:B2"/>
      <sortCondition ref="J1:J2"/>
    </sortState>
  </autoFilter>
  <customSheetViews>
    <customSheetView guid="{3FBFD739-53C5-42AA-9D25-C0C9F903DD50}" filter="1" showAutoFilter="1">
      <autoFilter ref="$A$1:$J$2"/>
    </customSheetView>
  </customSheetViews>
  <conditionalFormatting sqref="H2:J2">
    <cfRule type="cellIs" dxfId="5" priority="1" operator="equal">
      <formula>"FALSE"</formula>
    </cfRule>
  </conditionalFormatting>
  <conditionalFormatting sqref="H2:J2">
    <cfRule type="cellIs" dxfId="6" priority="2" operator="equal">
      <formula>"TRUE"</formula>
    </cfRule>
  </conditionalFormatting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2.75"/>
    <col customWidth="1" min="2" max="3" width="7.13"/>
    <col customWidth="1" min="4" max="4" width="11.25"/>
    <col customWidth="1" min="5" max="5" width="13.75"/>
    <col customWidth="1" min="6" max="6" width="7.25"/>
  </cols>
  <sheetData>
    <row r="1">
      <c r="A1" s="29" t="s">
        <v>42</v>
      </c>
      <c r="B1" s="29" t="s">
        <v>43</v>
      </c>
      <c r="C1" s="29" t="s">
        <v>44</v>
      </c>
      <c r="D1" s="30" t="str">
        <f t="array" ref="D1:D2">ifna(if(row(D:D)=1,'Advisor List'!G1,ifna(vlookup($A:$A,'Advisor List'!$F:$I,COLUMN()-2,false),)),)</f>
        <v>Advisor Email</v>
      </c>
      <c r="E1" s="30" t="str">
        <f t="array" ref="E1:E2">ifna(if(row(E:E)=1,'Advisor List'!I1,ifna(vlookup($A:$A,'Advisor List'!$F:$I,COLUMN()-2,false),)),)</f>
        <v>Advisor Last Name</v>
      </c>
      <c r="F1" s="30" t="str">
        <f t="array" ref="F1:F2">if(row(F:F)=1,"Inactive",IF((A:A&lt;&gt;"ROOT")*(isna(vlookup(A:A,'Faculty List'!D:D,1,false))),TRUE,FALSE))</f>
        <v>Inactive</v>
      </c>
    </row>
    <row r="2">
      <c r="A2" s="34" t="s">
        <v>45</v>
      </c>
      <c r="B2" s="34" t="s">
        <v>46</v>
      </c>
      <c r="C2" s="42" t="s">
        <v>47</v>
      </c>
      <c r="D2" s="36"/>
      <c r="E2" s="36"/>
      <c r="F2" s="36" t="b">
        <v>0</v>
      </c>
    </row>
  </sheetData>
  <autoFilter ref="$A$1:$F$2">
    <sortState ref="A1:F2">
      <sortCondition ref="E1:E2"/>
      <sortCondition ref="D1:D2"/>
    </sortState>
  </autoFilter>
  <customSheetViews>
    <customSheetView guid="{3FBFD739-53C5-42AA-9D25-C0C9F903DD50}" filter="1" showAutoFilter="1">
      <autoFilter ref="$A$1:$F$2">
        <filterColumn colId="5">
          <filters>
            <filter val="FALSE"/>
          </filters>
        </filterColumn>
      </autoFilter>
    </customSheetView>
  </customSheetViews>
  <conditionalFormatting sqref="F2">
    <cfRule type="cellIs" dxfId="5" priority="1" operator="equal">
      <formula>"FALSE"</formula>
    </cfRule>
  </conditionalFormatting>
  <conditionalFormatting sqref="F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13"/>
    <col customWidth="1" min="4" max="4" width="7.25"/>
  </cols>
  <sheetData>
    <row r="1">
      <c r="A1" s="29" t="s">
        <v>48</v>
      </c>
      <c r="B1" s="29" t="s">
        <v>49</v>
      </c>
      <c r="C1" s="29" t="s">
        <v>50</v>
      </c>
      <c r="D1" s="30" t="str">
        <f t="array" ref="D1:D2">if(row(D:D)=1,"Inactive",IF((A:A&lt;&gt;"ROOT")*(isna(vlookup(A:A,'Student List'!E:E,1,false))),TRUE,FALSE))</f>
        <v>Inactive</v>
      </c>
    </row>
    <row r="2">
      <c r="A2" s="34" t="s">
        <v>45</v>
      </c>
      <c r="B2" s="34" t="s">
        <v>46</v>
      </c>
      <c r="C2" s="42" t="s">
        <v>47</v>
      </c>
      <c r="D2" s="36" t="b">
        <v>0</v>
      </c>
    </row>
  </sheetData>
  <conditionalFormatting sqref="D2">
    <cfRule type="cellIs" dxfId="5" priority="1" operator="equal">
      <formula>"FALSE"</formula>
    </cfRule>
  </conditionalFormatting>
  <conditionalFormatting sqref="D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7.13"/>
    <col customWidth="1" min="4" max="4" width="7.25"/>
  </cols>
  <sheetData>
    <row r="1">
      <c r="A1" s="29" t="s">
        <v>48</v>
      </c>
      <c r="B1" s="29" t="s">
        <v>51</v>
      </c>
      <c r="C1" s="29" t="s">
        <v>52</v>
      </c>
      <c r="D1" s="30" t="str">
        <f t="array" ref="D1:D2">if(row(D:D)=1,"Inactive",IF((A:A&lt;&gt;"ROOT")*(isna(vlookup(A:A,'Student List'!E:E,1,false))),TRUE,FALSE))</f>
        <v>Inactive</v>
      </c>
    </row>
    <row r="2">
      <c r="A2" s="34" t="s">
        <v>45</v>
      </c>
      <c r="B2" s="34" t="s">
        <v>46</v>
      </c>
      <c r="C2" s="42" t="s">
        <v>47</v>
      </c>
      <c r="D2" s="36" t="b">
        <v>0</v>
      </c>
    </row>
  </sheetData>
  <conditionalFormatting sqref="D2">
    <cfRule type="cellIs" dxfId="5" priority="1" operator="equal">
      <formula>"FALSE"</formula>
    </cfRule>
  </conditionalFormatting>
  <conditionalFormatting sqref="D2">
    <cfRule type="cellIs" dxfId="6" priority="2" operator="equal">
      <formula>"TRUE"</formula>
    </cfRule>
  </conditionalFormatting>
  <hyperlinks>
    <hyperlink r:id="rId1" ref="C2"/>
  </hyperlin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0.5"/>
    <col customWidth="1" min="2" max="2" width="29.88"/>
    <col customWidth="1" min="3" max="3" width="11.25"/>
    <col customWidth="1" min="4" max="4" width="17.88"/>
    <col customWidth="1" min="5" max="5" width="4.88"/>
    <col customWidth="1" min="6" max="6" width="6.13"/>
  </cols>
  <sheetData>
    <row r="1">
      <c r="A1" s="43" t="s">
        <v>33</v>
      </c>
      <c r="B1" s="43" t="s">
        <v>53</v>
      </c>
      <c r="C1" s="43" t="s">
        <v>54</v>
      </c>
      <c r="D1" s="43" t="s">
        <v>55</v>
      </c>
      <c r="E1" s="43" t="s">
        <v>56</v>
      </c>
      <c r="F1" s="30" t="str">
        <f t="array" ref="F1:F2">if(row(F:F)=1,"Has Plan",not(isna(vlookup(A:A,'Course Plan Inventory'!A:A,1,false))))</f>
        <v>Has Plan</v>
      </c>
    </row>
    <row r="2">
      <c r="A2" s="44"/>
      <c r="B2" s="44"/>
      <c r="C2" s="44"/>
      <c r="D2" s="44"/>
      <c r="E2" s="44"/>
      <c r="F2" s="26" t="b">
        <v>0</v>
      </c>
    </row>
  </sheetData>
  <customSheetViews>
    <customSheetView guid="{6AD4D4A6-ED0D-40E6-8DEF-5D96ED6B85A3}" filter="1" showAutoFilter="1">
      <autoFilter ref="$A$1:$F$2">
        <filterColumn colId="5">
          <filters>
            <filter val="FALSE"/>
          </filters>
        </filterColumn>
      </autoFilter>
    </customSheetView>
    <customSheetView guid="{3FBFD739-53C5-42AA-9D25-C0C9F903DD50}" filter="1" showAutoFilter="1">
      <autoFilter ref="$A$1:$F$2">
        <filterColumn colId="5">
          <filters>
            <filter val="FALSE"/>
          </filters>
        </filterColumn>
      </autoFilter>
    </customSheetView>
  </customSheetViews>
  <conditionalFormatting sqref="F2">
    <cfRule type="cellIs" dxfId="5" priority="1" operator="equal">
      <formula>"FALSE"</formula>
    </cfRule>
  </conditionalFormatting>
  <conditionalFormatting sqref="F2">
    <cfRule type="cellIs" dxfId="6" priority="2" operator="equal">
      <formula>"TRUE"</formula>
    </cfRule>
  </conditionalFormatting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sheetData>
    <row r="1">
      <c r="A1" s="45" t="s">
        <v>33</v>
      </c>
      <c r="B1" s="45" t="s">
        <v>57</v>
      </c>
      <c r="C1" s="45" t="s">
        <v>58</v>
      </c>
      <c r="D1" s="45" t="s">
        <v>59</v>
      </c>
    </row>
    <row r="2">
      <c r="A2" s="44"/>
      <c r="B2" s="44"/>
      <c r="C2" s="44"/>
      <c r="D2" s="44"/>
    </row>
  </sheetData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6.63"/>
    <col customWidth="1" min="2" max="2" width="29.88"/>
    <col customWidth="1" min="3" max="3" width="9.75"/>
    <col customWidth="1" min="4" max="4" width="19.25"/>
    <col customWidth="1" min="5" max="5" width="11.38"/>
    <col customWidth="1" min="6" max="6" width="15.38"/>
    <col customWidth="1" min="7" max="7" width="22.75"/>
    <col customWidth="1" min="8" max="8" width="12.13"/>
    <col customWidth="1" min="9" max="9" width="13.63"/>
    <col customWidth="1" min="10" max="12" width="7.13"/>
    <col customWidth="1" min="13" max="13" width="64.88"/>
  </cols>
  <sheetData>
    <row r="1">
      <c r="A1" s="46" t="s">
        <v>33</v>
      </c>
      <c r="B1" s="43" t="s">
        <v>53</v>
      </c>
      <c r="C1" s="43" t="s">
        <v>54</v>
      </c>
      <c r="D1" s="43" t="s">
        <v>55</v>
      </c>
      <c r="E1" s="43" t="s">
        <v>56</v>
      </c>
      <c r="F1" s="43" t="s">
        <v>60</v>
      </c>
      <c r="G1" s="43" t="s">
        <v>42</v>
      </c>
      <c r="H1" s="43" t="s">
        <v>61</v>
      </c>
      <c r="I1" s="43" t="s">
        <v>62</v>
      </c>
      <c r="J1" s="30" t="str">
        <f>IFERROR(__xludf.DUMMYFUNCTION("byrow({A:A,F:F},lambda(enrollment,if(index(enrollment,1,1)=$A$1,""Current Advisor"",index(enrollment,1,2)=max(filter({A:A,F:F},A:A=index(enrollment,1,1))))))"),"Current Advisor")</f>
        <v>Current Advisor</v>
      </c>
      <c r="K1" s="30" t="str">
        <f>IFERROR(__xludf.DUMMYFUNCTION("BYROW(A:I,lambda(data,if(index(data,1,1)=$A$1,""Most Likely Advisor"",max(filter(F:F,A:A=index(data,1,1)))=index(data,1,6))))"),"Most Likely Advisor")</f>
        <v>Most Likely Advisor</v>
      </c>
      <c r="L1" s="30" t="str">
        <f t="array" ref="L1:L2">byrow(A:I,lambda(data,if(index(data,1,1)=$A$1,"Advisor on Course Plan",xlookup(index(data,1,1),'Course Plan Inventory'!A:A,'Course Plan Inventory'!Q:Q)=index(data,1,7))))</f>
        <v>Advisor on Course Plan</v>
      </c>
      <c r="M1" s="30" t="str">
        <f t="array" ref="M1:M2">xlookup(G:G,'Advisor Folder Inventory'!A:A,'Advisor Folder Inventory'!C:C)</f>
        <v>Advisor Folder URL</v>
      </c>
    </row>
    <row r="2">
      <c r="A2" s="44"/>
      <c r="B2" s="44"/>
      <c r="C2" s="44"/>
      <c r="D2" s="44"/>
      <c r="E2" s="44"/>
      <c r="F2" s="47"/>
      <c r="G2" s="44"/>
      <c r="H2" s="44"/>
      <c r="I2" s="44"/>
      <c r="J2" s="26" t="b">
        <f>IFERROR(__xludf.DUMMYFUNCTION("""COMPUTED_VALUE"""),TRUE)</f>
        <v>1</v>
      </c>
      <c r="K2" s="26" t="b">
        <f>IFERROR(__xludf.DUMMYFUNCTION("""COMPUTED_VALUE"""),TRUE)</f>
        <v>1</v>
      </c>
      <c r="L2" s="26" t="e">
        <v>#N/A</v>
      </c>
      <c r="M2" s="26" t="e">
        <v>#N/A</v>
      </c>
    </row>
  </sheetData>
  <autoFilter ref="$A$1:$J$2">
    <sortState ref="A1:J2">
      <sortCondition ref="B1:B2"/>
    </sortState>
  </autoFilter>
  <conditionalFormatting sqref="A2:M2">
    <cfRule type="expression" dxfId="7" priority="1">
      <formula>$K2&lt;&gt;$L2</formula>
    </cfRule>
  </conditionalFormatting>
  <conditionalFormatting sqref="J2:M2">
    <cfRule type="cellIs" dxfId="5" priority="2" operator="equal">
      <formula>"FALSE"</formula>
    </cfRule>
  </conditionalFormatting>
  <conditionalFormatting sqref="J2:M2">
    <cfRule type="cellIs" dxfId="6" priority="3" operator="equal">
      <formula>"TRUE"</formula>
    </cfRule>
  </conditionalFormatting>
  <drawing r:id="rId2"/>
  <legacyDrawing r:id="rId3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14" width="15.13"/>
  </cols>
  <sheetData>
    <row r="1" ht="15.75" customHeight="1">
      <c r="A1" s="48" t="s">
        <v>26</v>
      </c>
      <c r="B1" s="45" t="s">
        <v>31</v>
      </c>
      <c r="C1" s="45" t="s">
        <v>27</v>
      </c>
      <c r="D1" s="45" t="s">
        <v>28</v>
      </c>
      <c r="E1" s="45" t="s">
        <v>63</v>
      </c>
      <c r="F1" s="45" t="s">
        <v>64</v>
      </c>
      <c r="G1" s="22" t="str">
        <f>IFERROR(__xludf.DUMMYFUNCTION("ARRAYFORMULA(if(row(G:G)=1,""Course Title"",iferror(index(REGEXEXTRACT(C:C,""^(.+) \([FWSY]\)""),0,0))))"),"Course Title")</f>
        <v>Course Title</v>
      </c>
      <c r="H1" s="22" t="s">
        <v>65</v>
      </c>
      <c r="I1" s="22" t="s">
        <v>66</v>
      </c>
      <c r="J1" s="22" t="s">
        <v>67</v>
      </c>
      <c r="K1" s="22" t="str">
        <f>IFERROR(__xludf.DUMMYFUNCTION("arrayformula(if(row(F:F)=1,""Formatted Description"",trim(REGEXREPLACE(SUBSTITUTE(substitute(E:E,""&lt;br /&gt;"",char(10)),""&amp;#160;"","" ""),""&lt;\/\w+&gt;|&lt;\w+.*?&gt;"",""""))))"),"Formatted Description")</f>
        <v>Formatted Description</v>
      </c>
      <c r="L1" s="22" t="str">
        <f t="array" ref="L1:L2">if(row(L:L)=1,"Available",if(F:F,false,vlookup(A:A,'Available Courses'!A2:F$3,6,false)))</f>
        <v>Available</v>
      </c>
      <c r="M1" s="22" t="str">
        <f t="array" ref="M1:M2">if(row(M:M)=1,"Cross-registered",countif($B$2:$B2,B:B)&lt;&gt;countifs($B$2:$B2,B:B,$D$2:$D2,D:D))</f>
        <v>Cross-registered</v>
      </c>
      <c r="N1" s="22" t="str">
        <f t="array" ref="N1:N2">byrow({B:B,D:D,M:M},lambda(row,if(index(row,1,1)="Course Code","Display Department",if(index(row,1,3),if(index(CrossRegistered_Department,match(index(row,1,1),CrossRegistered_CourseCode,0),0)&lt;&gt;"",index(CrossRegistered_Department,match(index(row,1,1),CrossRegistered_CourseCode,0),0),index(row,1,2)),INDEX(row,1,2)))))</f>
        <v>Display Department</v>
      </c>
    </row>
    <row r="2" ht="15.75" customHeight="1">
      <c r="A2" s="44"/>
      <c r="B2" s="44"/>
      <c r="C2" s="44"/>
      <c r="D2" s="44"/>
      <c r="E2" s="44"/>
      <c r="F2" s="44"/>
      <c r="G2" s="26"/>
      <c r="H2" s="26" t="str">
        <f t="array" ref="H2">SWITCH(right(C2,3),"(F)","Fall","(W)","Winter","(S)","Spring",)</f>
        <v/>
      </c>
      <c r="I2" s="38">
        <f t="array" ref="I2">switch(H2,"Fall",1,"Winter",2,"Spring",3,0)</f>
        <v>0</v>
      </c>
      <c r="J2" s="38" t="str">
        <f t="array" ref="J2">if(H2&lt;&gt;"",if(countif(Course_Title,G2&amp;" (Y)"),,G2&amp;" ("&amp;H2&amp;")"),G2)</f>
        <v/>
      </c>
      <c r="K2" s="38" t="str">
        <f>IFERROR(__xludf.DUMMYFUNCTION("""COMPUTED_VALUE"""),"")</f>
        <v/>
      </c>
      <c r="L2" s="38" t="e">
        <v>#N/A</v>
      </c>
      <c r="M2" s="38" t="b">
        <v>0</v>
      </c>
      <c r="N2" s="38"/>
    </row>
  </sheetData>
  <conditionalFormatting sqref="A2:N2">
    <cfRule type="expression" dxfId="8" priority="1">
      <formula>not($L2)</formula>
    </cfRule>
  </conditionalFormatting>
  <drawing r:id="rId2"/>
  <legacyDrawing r:id="rId3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5.13"/>
  </cols>
  <sheetData>
    <row r="1">
      <c r="A1" s="49" t="s">
        <v>68</v>
      </c>
      <c r="B1" s="49" t="s">
        <v>69</v>
      </c>
      <c r="C1" s="49" t="s">
        <v>70</v>
      </c>
      <c r="D1" s="49" t="s">
        <v>71</v>
      </c>
      <c r="E1" s="49" t="s">
        <v>72</v>
      </c>
      <c r="F1" s="49" t="s">
        <v>73</v>
      </c>
      <c r="G1" s="49" t="s">
        <v>74</v>
      </c>
      <c r="H1" s="49" t="s">
        <v>75</v>
      </c>
      <c r="I1" s="49" t="s">
        <v>76</v>
      </c>
      <c r="J1" s="49" t="s">
        <v>77</v>
      </c>
      <c r="K1" s="49" t="s">
        <v>78</v>
      </c>
    </row>
    <row r="2">
      <c r="A2" s="50" t="str">
        <f>IFERROR(__xludf.DUMMYFUNCTION("arrayformula({unique(index(sort(filter('Course List'!$G$2:$J5,Course_Department=A1,Course_Available),3,true,1,true),,4));"""";""[Elective]"";""[Tutorial]""})"),"#N/A")</f>
        <v>#N/A</v>
      </c>
      <c r="B2" s="50" t="str">
        <f>IFERROR(__xludf.DUMMYFUNCTION("arrayformula({unique(index(sort(filter('Course List'!$G$2:$J5,Course_Department=B1,Course_Available),3,true,1,true),,4));"""";""[Elective]"";""[Tutorial]""})"),"#N/A")</f>
        <v>#N/A</v>
      </c>
      <c r="C2" s="50" t="str">
        <f>IFERROR(__xludf.DUMMYFUNCTION("arrayformula({unique(index(sort(filter('Course List'!$G$2:$J5,Course_Department=C1,Course_Available),3,true,1,true),,4));"""";""[Elective]"";""[Tutorial]""})"),"#N/A")</f>
        <v>#N/A</v>
      </c>
      <c r="D2" s="50" t="str">
        <f>IFERROR(__xludf.DUMMYFUNCTION("arrayformula({unique(index(sort(filter('Course List'!$G$2:$J5,Course_Department=D1,Course_Available),3,true,1,true),,4));"""";""[Elective]"";""[Tutorial]""})"),"#N/A")</f>
        <v>#N/A</v>
      </c>
      <c r="E2" s="50" t="str">
        <f>IFERROR(__xludf.DUMMYFUNCTION("arrayformula({unique(index(sort(filter('Course List'!$G$2:$J5,Course_Department=E1,Course_Available),3,true,1,true),,4));"""";""[Elective]"";""[Tutorial]""})"),"#N/A")</f>
        <v>#N/A</v>
      </c>
      <c r="F2" s="50" t="str">
        <f>IFERROR(__xludf.DUMMYFUNCTION("arrayformula({unique(index(sort(filter('Course List'!$G$2:$J5,Course_Department=F1,Course_Available),3,true,1,true),,4));"""";""[Elective]"";""[Tutorial]""})"),"#N/A")</f>
        <v>#N/A</v>
      </c>
      <c r="G2" s="50" t="str">
        <f>IFERROR(__xludf.DUMMYFUNCTION("arrayformula({unique(index(sort(filter('Course List'!$G$2:$J5,Course_Department=G1,Course_Available),3,true,1,true),,4));"""";""[Elective]"";""[Tutorial]""})"),"#N/A")</f>
        <v>#N/A</v>
      </c>
      <c r="H2" s="50" t="str">
        <f>IFERROR(__xludf.DUMMYFUNCTION("arrayformula({unique(index(sort(filter('Course List'!$G$2:$J5,Course_Department=H1,Course_Available),3,true,1,true),,4));"""";""[Elective]"";""[Tutorial]""})"),"#N/A")</f>
        <v>#N/A</v>
      </c>
      <c r="I2" s="50" t="str">
        <f>IFERROR(__xludf.DUMMYFUNCTION("arrayformula({unique(index(sort(filter('Course List'!$G$2:$J5,Course_Department=I1,Course_Available),3,true,1,true),,4));"""";""[Elective]"";""[Tutorial]""})"),"#N/A")</f>
        <v>#N/A</v>
      </c>
      <c r="J2" s="50" t="str">
        <f>IFERROR(__xludf.DUMMYFUNCTION("arrayformula({unique(index(sort(filter('Course List'!$G$2:$J5,Course_Department=J1,Course_Available),3,true,1,true),,4));"""";""[Elective]"";""[Tutorial]""})"),"#N/A")</f>
        <v>#N/A</v>
      </c>
      <c r="K2" s="50" t="str">
        <f>IFERROR(__xludf.DUMMYFUNCTION("arrayformula({unique(index(sort(filter('Course List'!$G$2:$J5,Course_Department=K1,Course_Available),3,true,1,true),,4));"""";""[Elective]"";""[Tutorial]""})"),"#N/A")</f>
        <v>#N/A</v>
      </c>
    </row>
    <row r="3">
      <c r="A3" s="50" t="str">
        <f>IFERROR(__xludf.DUMMYFUNCTION("""COMPUTED_VALUE"""),"")</f>
        <v/>
      </c>
      <c r="B3" s="50" t="str">
        <f>IFERROR(__xludf.DUMMYFUNCTION("""COMPUTED_VALUE"""),"")</f>
        <v/>
      </c>
      <c r="C3" s="50" t="str">
        <f>IFERROR(__xludf.DUMMYFUNCTION("""COMPUTED_VALUE"""),"")</f>
        <v/>
      </c>
      <c r="D3" s="50" t="str">
        <f>IFERROR(__xludf.DUMMYFUNCTION("""COMPUTED_VALUE"""),"")</f>
        <v/>
      </c>
      <c r="E3" s="50" t="str">
        <f>IFERROR(__xludf.DUMMYFUNCTION("""COMPUTED_VALUE"""),"")</f>
        <v/>
      </c>
      <c r="F3" s="50" t="str">
        <f>IFERROR(__xludf.DUMMYFUNCTION("""COMPUTED_VALUE"""),"")</f>
        <v/>
      </c>
      <c r="G3" s="50" t="str">
        <f>IFERROR(__xludf.DUMMYFUNCTION("""COMPUTED_VALUE"""),"")</f>
        <v/>
      </c>
      <c r="H3" s="50" t="str">
        <f>IFERROR(__xludf.DUMMYFUNCTION("""COMPUTED_VALUE"""),"")</f>
        <v/>
      </c>
      <c r="I3" s="50" t="str">
        <f>IFERROR(__xludf.DUMMYFUNCTION("""COMPUTED_VALUE"""),"")</f>
        <v/>
      </c>
      <c r="J3" s="50" t="str">
        <f>IFERROR(__xludf.DUMMYFUNCTION("""COMPUTED_VALUE"""),"")</f>
        <v/>
      </c>
      <c r="K3" s="50" t="str">
        <f>IFERROR(__xludf.DUMMYFUNCTION("""COMPUTED_VALUE"""),"")</f>
        <v/>
      </c>
    </row>
    <row r="4">
      <c r="A4" s="50" t="str">
        <f>IFERROR(__xludf.DUMMYFUNCTION("""COMPUTED_VALUE"""),"[Elective]")</f>
        <v>[Elective]</v>
      </c>
      <c r="B4" s="50" t="str">
        <f>IFERROR(__xludf.DUMMYFUNCTION("""COMPUTED_VALUE"""),"[Elective]")</f>
        <v>[Elective]</v>
      </c>
      <c r="C4" s="50" t="str">
        <f>IFERROR(__xludf.DUMMYFUNCTION("""COMPUTED_VALUE"""),"[Elective]")</f>
        <v>[Elective]</v>
      </c>
      <c r="D4" s="50" t="str">
        <f>IFERROR(__xludf.DUMMYFUNCTION("""COMPUTED_VALUE"""),"[Elective]")</f>
        <v>[Elective]</v>
      </c>
      <c r="E4" s="50" t="str">
        <f>IFERROR(__xludf.DUMMYFUNCTION("""COMPUTED_VALUE"""),"[Elective]")</f>
        <v>[Elective]</v>
      </c>
      <c r="F4" s="50" t="str">
        <f>IFERROR(__xludf.DUMMYFUNCTION("""COMPUTED_VALUE"""),"[Elective]")</f>
        <v>[Elective]</v>
      </c>
      <c r="G4" s="50" t="str">
        <f>IFERROR(__xludf.DUMMYFUNCTION("""COMPUTED_VALUE"""),"[Elective]")</f>
        <v>[Elective]</v>
      </c>
      <c r="H4" s="50" t="str">
        <f>IFERROR(__xludf.DUMMYFUNCTION("""COMPUTED_VALUE"""),"[Elective]")</f>
        <v>[Elective]</v>
      </c>
      <c r="I4" s="50" t="str">
        <f>IFERROR(__xludf.DUMMYFUNCTION("""COMPUTED_VALUE"""),"[Elective]")</f>
        <v>[Elective]</v>
      </c>
      <c r="J4" s="50" t="str">
        <f>IFERROR(__xludf.DUMMYFUNCTION("""COMPUTED_VALUE"""),"[Elective]")</f>
        <v>[Elective]</v>
      </c>
      <c r="K4" s="50" t="str">
        <f>IFERROR(__xludf.DUMMYFUNCTION("""COMPUTED_VALUE"""),"[Elective]")</f>
        <v>[Elective]</v>
      </c>
    </row>
    <row r="5">
      <c r="A5" s="50" t="str">
        <f>IFERROR(__xludf.DUMMYFUNCTION("""COMPUTED_VALUE"""),"[Tutorial]")</f>
        <v>[Tutorial]</v>
      </c>
      <c r="B5" s="50" t="str">
        <f>IFERROR(__xludf.DUMMYFUNCTION("""COMPUTED_VALUE"""),"[Tutorial]")</f>
        <v>[Tutorial]</v>
      </c>
      <c r="C5" s="50" t="str">
        <f>IFERROR(__xludf.DUMMYFUNCTION("""COMPUTED_VALUE"""),"[Tutorial]")</f>
        <v>[Tutorial]</v>
      </c>
      <c r="D5" s="50" t="str">
        <f>IFERROR(__xludf.DUMMYFUNCTION("""COMPUTED_VALUE"""),"[Tutorial]")</f>
        <v>[Tutorial]</v>
      </c>
      <c r="E5" s="50" t="str">
        <f>IFERROR(__xludf.DUMMYFUNCTION("""COMPUTED_VALUE"""),"[Tutorial]")</f>
        <v>[Tutorial]</v>
      </c>
      <c r="F5" s="50" t="str">
        <f>IFERROR(__xludf.DUMMYFUNCTION("""COMPUTED_VALUE"""),"[Tutorial]")</f>
        <v>[Tutorial]</v>
      </c>
      <c r="G5" s="50" t="str">
        <f>IFERROR(__xludf.DUMMYFUNCTION("""COMPUTED_VALUE"""),"[Tutorial]")</f>
        <v>[Tutorial]</v>
      </c>
      <c r="H5" s="50" t="str">
        <f>IFERROR(__xludf.DUMMYFUNCTION("""COMPUTED_VALUE"""),"[Tutorial]")</f>
        <v>[Tutorial]</v>
      </c>
      <c r="I5" s="50" t="str">
        <f>IFERROR(__xludf.DUMMYFUNCTION("""COMPUTED_VALUE"""),"[Tutorial]")</f>
        <v>[Tutorial]</v>
      </c>
      <c r="J5" s="50" t="str">
        <f>IFERROR(__xludf.DUMMYFUNCTION("""COMPUTED_VALUE"""),"[Tutorial]")</f>
        <v>[Tutorial]</v>
      </c>
      <c r="K5" s="50" t="str">
        <f>IFERROR(__xludf.DUMMYFUNCTION("""COMPUTED_VALUE"""),"[Tutorial]")</f>
        <v>[Tutorial]</v>
      </c>
    </row>
  </sheetData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4.0" ySplit="1.0" topLeftCell="E2" activePane="bottomRight" state="frozen"/>
      <selection activeCell="E1" sqref="E1" pane="topRight"/>
      <selection activeCell="A2" sqref="A2" pane="bottomLeft"/>
      <selection activeCell="E2" sqref="E2" pane="bottomRight"/>
    </sheetView>
  </sheetViews>
  <sheetFormatPr customHeight="1" defaultColWidth="12.63" defaultRowHeight="15.75"/>
  <cols>
    <col customWidth="1" min="1" max="1" width="10.0"/>
    <col customWidth="1" min="8" max="8" width="37.25"/>
    <col customWidth="1" min="11" max="11" width="27.88"/>
    <col customWidth="1" min="20" max="21" width="23.38"/>
    <col customWidth="1" min="27" max="27" width="39.63"/>
    <col customWidth="1" min="28" max="28" width="9.38"/>
  </cols>
  <sheetData>
    <row r="1">
      <c r="A1" s="51" t="s">
        <v>56</v>
      </c>
      <c r="B1" s="52" t="s">
        <v>79</v>
      </c>
      <c r="C1" s="52" t="s">
        <v>58</v>
      </c>
      <c r="D1" s="52" t="s">
        <v>33</v>
      </c>
      <c r="E1" s="52" t="s">
        <v>59</v>
      </c>
      <c r="F1" s="52" t="s">
        <v>80</v>
      </c>
      <c r="G1" s="52" t="s">
        <v>81</v>
      </c>
      <c r="H1" s="52" t="s">
        <v>82</v>
      </c>
      <c r="I1" s="52" t="s">
        <v>31</v>
      </c>
      <c r="J1" s="52" t="s">
        <v>83</v>
      </c>
      <c r="K1" s="52" t="s">
        <v>84</v>
      </c>
      <c r="L1" s="52" t="s">
        <v>85</v>
      </c>
      <c r="M1" s="52" t="s">
        <v>28</v>
      </c>
      <c r="N1" s="52" t="s">
        <v>86</v>
      </c>
      <c r="O1" s="52" t="s">
        <v>87</v>
      </c>
      <c r="P1" s="52" t="s">
        <v>88</v>
      </c>
      <c r="Q1" s="52" t="s">
        <v>89</v>
      </c>
      <c r="R1" s="52" t="s">
        <v>90</v>
      </c>
      <c r="S1" s="52" t="s">
        <v>91</v>
      </c>
      <c r="T1" s="53" t="str">
        <f>IFERROR(__xludf.DUMMYFUNCTION("ARRAYFORMULA(if(row(Enrollment_TitleWithoutTerm)=1,""Title without Term"",if(Enrollment_CourseCode=5741,""Advanced Physics: Electricity and Magnetism"",iferror(index(REGEXEXTRACT(Enrollment_TitleWithTerm,""^(.+)( \([FWSY]\)\.*)$""),0,1),Enrollment_TitleWi"&amp;"thTerm))))"),"Title without Term")</f>
        <v>Title without Term</v>
      </c>
      <c r="U1" s="53" t="str">
        <f>IFERROR(__xludf.DUMMYFUNCTION("ARRAYFORMULA(if(row(U:U)=1,""Base Title"",REGEXEXTRACT(Enrollment_TitleWithoutTerm,""([^(]+)\s?\(?.*\)?"")))"),"Base Title")</f>
        <v>Base Title</v>
      </c>
      <c r="V1" s="53" t="str">
        <f t="array" ref="V1:V2">if(row(Enrollment_Order)=1,"Order",switch(Enrollment_TermName,"Fall",1,"Winter",2,"Spring",3,0)-if(Enrollment_Dropped,0.5,0))</f>
        <v>Order</v>
      </c>
      <c r="W1" s="53" t="str">
        <f>IFERROR(__xludf.DUMMYFUNCTION("ARRAYFORMULA(if(row(Enrollment_ParentheticalNote)=1,""Parenthetical Note"",ifna(REGEXEXTRACT(Enrollment_TitleWithoutTerm,""\((.+)\)""),)))"),"Parenthetical Note")</f>
        <v>Parenthetical Note</v>
      </c>
      <c r="X1" s="53" t="str">
        <f t="array" ref="X1:X2">if(row(Enrollment_Term)=1,"Term",if(Enrollment_CourseCode=5741,"Fall, Winter",SWITCH(right(Enrollment_TitleWithTerm,3),"(F)","Fall","(W)","Winter","(S)","Spring","(Y)", "","")))</f>
        <v>Term</v>
      </c>
      <c r="Y1" s="53" t="str">
        <f t="array" ref="Y1:Y2">if(row(Y:Y)=1,"Audit",if((Enrollment_CreditsAttempted="")*not(Enrollment_Dropped)*(today()&gt;Q:Q),"audit",))</f>
        <v>Audit</v>
      </c>
      <c r="Z1" s="53" t="str">
        <f t="array" ref="Z1:Z2">if(row(Z:Z)=1,"Dropped",if(Enrollment_Dropped*not(Enrollment_ChangedSections),"dropped",))</f>
        <v>Dropped</v>
      </c>
      <c r="AA1" s="53" t="str">
        <f>IFERROR(__xludf.DUMMYFUNCTION("ARRAYFORMULA(if(row(AA:AA)=1,""Enrollment Title"",substitute(Enrollment_BaseTitle&amp;"" (""&amp;substitute(trim(transpose(query(transpose(W:Z),,ROWS(AA:AA)))),"" "","", "")&amp;"")"","" ()"","""")))"),"#REF!")</f>
        <v>#REF!</v>
      </c>
      <c r="AB1" s="54" t="str">
        <f t="array" ref="AB1:AB2">if(row(Enrollment_Include)=1,"Include",NOT(vlookup(Enrollment_CourseCode,'Course List'!B:M,12,false)*((countifs('Course List'!B:B,Enrollment_CourseCode,'Course List'!N:N,Enrollment_Department)=0)))*(not(Enrollment_Dropped)+Enrollment_Dropped*not(Enrollment_ChangedSections))&gt;0)</f>
        <v>Include</v>
      </c>
    </row>
    <row r="2">
      <c r="A2" s="44"/>
      <c r="B2" s="44"/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7"/>
      <c r="R2" s="44"/>
      <c r="S2" s="44"/>
      <c r="T2" s="26"/>
      <c r="U2" s="26" t="str">
        <f>IFERROR(__xludf.DUMMYFUNCTION("""COMPUTED_VALUE"""),"#N/A")</f>
        <v>#N/A</v>
      </c>
      <c r="V2" s="26">
        <v>0.0</v>
      </c>
      <c r="W2" s="26"/>
      <c r="X2" s="26" t="s">
        <v>92</v>
      </c>
      <c r="Y2" s="26" t="s">
        <v>93</v>
      </c>
      <c r="Z2" s="26"/>
      <c r="AA2" s="26"/>
      <c r="AB2" s="26" t="e">
        <v>#N/A</v>
      </c>
    </row>
  </sheetData>
  <autoFilter ref="$A$1:$AB$2"/>
  <drawing r:id="rId2"/>
  <legacyDrawing r:id="rId3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30.5"/>
    <col customWidth="1" min="2" max="6" width="22.5"/>
  </cols>
  <sheetData>
    <row r="1">
      <c r="A1" s="55"/>
      <c r="B1" s="56" t="s">
        <v>33</v>
      </c>
      <c r="C1" s="56" t="s">
        <v>94</v>
      </c>
      <c r="D1" s="56" t="s">
        <v>95</v>
      </c>
      <c r="E1" s="57"/>
      <c r="F1" s="57"/>
    </row>
    <row r="2">
      <c r="A2" s="58"/>
      <c r="B2" s="59" t="str">
        <f>IFERROR(__xludf.DUMMYFUNCTION("if(A2&lt;&gt;"""",A2,REGEXEXTRACT(A1,""\[(.+)\]$""))"),"#N/A")</f>
        <v>#N/A</v>
      </c>
      <c r="C2" s="59" t="str">
        <f>IFERROR(__xludf.DUMMYFUNCTION("join("" "",INDEX('Student List'!C:D,match(B2,'Student List'!A:A,0),0))"),"#N/A")</f>
        <v>#N/A</v>
      </c>
      <c r="D2" s="59" t="str">
        <f t="array" ref="D2">INDEX('Student List'!E:E,match(B2,'Student List'!A:A,0),0)</f>
        <v>#N/A</v>
      </c>
      <c r="E2" s="57"/>
      <c r="F2" s="57"/>
    </row>
    <row r="3">
      <c r="A3" s="60" t="s">
        <v>96</v>
      </c>
      <c r="B3" s="61" t="str">
        <f t="array" ref="B3:F3">IEH_GradYear-(6-COLUMN(B5:F5))</f>
        <v>#N/A</v>
      </c>
      <c r="C3" s="61" t="e">
        <v>#N/A</v>
      </c>
      <c r="D3" s="62" t="e">
        <v>#N/A</v>
      </c>
      <c r="E3" s="62" t="e">
        <v>#N/A</v>
      </c>
      <c r="F3" s="63" t="e">
        <v>#N/A</v>
      </c>
    </row>
    <row r="4">
      <c r="A4" s="64"/>
      <c r="B4" s="65" t="s">
        <v>97</v>
      </c>
      <c r="C4" s="65" t="s">
        <v>98</v>
      </c>
      <c r="D4" s="65" t="s">
        <v>99</v>
      </c>
      <c r="E4" s="65" t="s">
        <v>100</v>
      </c>
      <c r="F4" s="65" t="s">
        <v>101</v>
      </c>
    </row>
    <row r="5">
      <c r="A5" s="64"/>
      <c r="B5" s="66" t="str">
        <f t="array" ref="B5:F5">(B3:F3-1)&amp;" - "&amp;B3:F3</f>
        <v>#N/A</v>
      </c>
      <c r="C5" s="66" t="e">
        <v>#N/A</v>
      </c>
      <c r="D5" s="66" t="e">
        <v>#N/A</v>
      </c>
      <c r="E5" s="66" t="e">
        <v>#N/A</v>
      </c>
      <c r="F5" s="66" t="e">
        <v>#N/A</v>
      </c>
    </row>
    <row r="6">
      <c r="A6" s="67" t="s">
        <v>68</v>
      </c>
      <c r="B6" s="68" t="str">
        <f>IFERROR(__xludf.DUMMYFUNCTION("IFNA(JOIN(CHAR(10),UNIQUE(INDEX(SORT(FILTER({Enrollment_Title, Enrollment_Order},Enrollment_Include,Enrollment_Host_ID=IEH_HostID,Enrollment_Year=B$5,Enrollment_Department=$A6),2,true,1,true),,1))),)"),"")</f>
        <v/>
      </c>
      <c r="C6" s="68" t="str">
        <f>IFERROR(__xludf.DUMMYFUNCTION("IFNA(JOIN(CHAR(10),UNIQUE(INDEX(SORT(FILTER({Enrollment_Title, Enrollment_Order},Enrollment_Include,Enrollment_Host_ID=IEH_HostID,Enrollment_Year=C$5,Enrollment_Department=$A6),2,true,1,true),,1))),)"),"")</f>
        <v/>
      </c>
      <c r="D6" s="68" t="str">
        <f>IFERROR(__xludf.DUMMYFUNCTION("IFNA(JOIN(CHAR(10),UNIQUE(INDEX(SORT(FILTER({Enrollment_Title, Enrollment_Order},Enrollment_Include,Enrollment_Host_ID=IEH_HostID,Enrollment_Year=D$5,Enrollment_Department=$A6),2,true,1,true),,1))),)"),"")</f>
        <v/>
      </c>
      <c r="E6" s="68" t="str">
        <f>IFERROR(__xludf.DUMMYFUNCTION("IFNA(JOIN(CHAR(10),UNIQUE(INDEX(SORT(FILTER({Enrollment_Title, Enrollment_Order},Enrollment_Include,Enrollment_Host_ID=IEH_HostID,Enrollment_Year=E$5,Enrollment_Department=$A6),2,true,1,true),,1))),)"),"")</f>
        <v/>
      </c>
      <c r="F6" s="68" t="str">
        <f>IFERROR(__xludf.DUMMYFUNCTION("IFNA(JOIN(CHAR(10),UNIQUE(INDEX(SORT(FILTER({Enrollment_Title, Enrollment_Order},Enrollment_Include,Enrollment_Host_ID=IEH_HostID,Enrollment_Year=F$5,Enrollment_Department=$A6),2,true,1,true),,1))),)"),"")</f>
        <v/>
      </c>
    </row>
    <row r="7">
      <c r="A7" s="67" t="s">
        <v>69</v>
      </c>
      <c r="B7" s="68" t="str">
        <f>IFERROR(__xludf.DUMMYFUNCTION("IFNA(JOIN(CHAR(10),UNIQUE(INDEX(SORT(FILTER({Enrollment_Title, Enrollment_Order},Enrollment_Include,Enrollment_Host_ID=IEH_HostID,Enrollment_Year=B$5,Enrollment_Department=$A7),2,true,1,true),,1))),)"),"")</f>
        <v/>
      </c>
      <c r="C7" s="68" t="str">
        <f>IFERROR(__xludf.DUMMYFUNCTION("IFNA(JOIN(CHAR(10),UNIQUE(INDEX(SORT(FILTER({Enrollment_Title, Enrollment_Order},Enrollment_Include,Enrollment_Host_ID=IEH_HostID,Enrollment_Year=C$5,Enrollment_Department=$A7),2,true,1,true),,1))),)"),"")</f>
        <v/>
      </c>
      <c r="D7" s="68" t="str">
        <f>IFERROR(__xludf.DUMMYFUNCTION("IFNA(JOIN(CHAR(10),UNIQUE(INDEX(SORT(FILTER({Enrollment_Title, Enrollment_Order},Enrollment_Include,Enrollment_Host_ID=IEH_HostID,Enrollment_Year=D$5,Enrollment_Department=$A7),2,true,1,true),,1))),)"),"")</f>
        <v/>
      </c>
      <c r="E7" s="68" t="str">
        <f>IFERROR(__xludf.DUMMYFUNCTION("IFNA(JOIN(CHAR(10),UNIQUE(INDEX(SORT(FILTER({Enrollment_Title, Enrollment_Order},Enrollment_Include,Enrollment_Host_ID=IEH_HostID,Enrollment_Year=E$5,Enrollment_Department=$A7),2,true,1,true),,1))),)"),"")</f>
        <v/>
      </c>
      <c r="F7" s="68" t="str">
        <f>IFERROR(__xludf.DUMMYFUNCTION("IFNA(JOIN(CHAR(10),UNIQUE(INDEX(SORT(FILTER({Enrollment_Title, Enrollment_Order},Enrollment_Include,Enrollment_Host_ID=IEH_HostID,Enrollment_Year=F$5,Enrollment_Department=$A7),2,true,1,true),,1))),)"),"")</f>
        <v/>
      </c>
    </row>
    <row r="8">
      <c r="A8" s="67" t="s">
        <v>70</v>
      </c>
      <c r="B8" s="68" t="str">
        <f>IFERROR(__xludf.DUMMYFUNCTION("IFNA(JOIN(CHAR(10),UNIQUE(INDEX(SORT(FILTER({Enrollment_Title, Enrollment_Order},Enrollment_Include,Enrollment_Host_ID=IEH_HostID,Enrollment_Year=B$5,Enrollment_Department=$A8),2,true,1,true),,1))),)"),"")</f>
        <v/>
      </c>
      <c r="C8" s="68" t="str">
        <f>IFERROR(__xludf.DUMMYFUNCTION("IFNA(JOIN(CHAR(10),UNIQUE(INDEX(SORT(FILTER({Enrollment_Title, Enrollment_Order},Enrollment_Include,Enrollment_Host_ID=IEH_HostID,Enrollment_Year=C$5,Enrollment_Department=$A8),2,true,1,true),,1))),)"),"")</f>
        <v/>
      </c>
      <c r="D8" s="68" t="str">
        <f>IFERROR(__xludf.DUMMYFUNCTION("IFNA(JOIN(CHAR(10),UNIQUE(INDEX(SORT(FILTER({Enrollment_Title, Enrollment_Order},Enrollment_Include,Enrollment_Host_ID=IEH_HostID,Enrollment_Year=D$5,Enrollment_Department=$A8),2,true,1,true),,1))),)"),"")</f>
        <v/>
      </c>
      <c r="E8" s="68" t="str">
        <f>IFERROR(__xludf.DUMMYFUNCTION("IFNA(JOIN(CHAR(10),UNIQUE(INDEX(SORT(FILTER({Enrollment_Title, Enrollment_Order},Enrollment_Include,Enrollment_Host_ID=IEH_HostID,Enrollment_Year=E$5,Enrollment_Department=$A8),2,true,1,true),,1))),)"),"")</f>
        <v/>
      </c>
      <c r="F8" s="68" t="str">
        <f>IFERROR(__xludf.DUMMYFUNCTION("IFNA(JOIN(CHAR(10),UNIQUE(INDEX(SORT(FILTER({Enrollment_Title, Enrollment_Order},Enrollment_Include,Enrollment_Host_ID=IEH_HostID,Enrollment_Year=F$5,Enrollment_Department=$A8),2,true,1,true),,1))),)"),"")</f>
        <v/>
      </c>
    </row>
    <row r="9">
      <c r="A9" s="67" t="s">
        <v>71</v>
      </c>
      <c r="B9" s="68" t="str">
        <f>IFERROR(__xludf.DUMMYFUNCTION("IFNA(JOIN(CHAR(10),UNIQUE(INDEX(SORT(FILTER({Enrollment_Title, Enrollment_Order},Enrollment_Include,Enrollment_Host_ID=IEH_HostID,Enrollment_Year=B$5,Enrollment_Department=$A9),2,true,1,true),,1))),)"),"")</f>
        <v/>
      </c>
      <c r="C9" s="68" t="str">
        <f>IFERROR(__xludf.DUMMYFUNCTION("IFNA(JOIN(CHAR(10),UNIQUE(INDEX(SORT(FILTER({Enrollment_Title, Enrollment_Order},Enrollment_Include,Enrollment_Host_ID=IEH_HostID,Enrollment_Year=C$5,Enrollment_Department=$A9),2,true,1,true),,1))),)"),"")</f>
        <v/>
      </c>
      <c r="D9" s="68" t="str">
        <f>IFERROR(__xludf.DUMMYFUNCTION("IFNA(JOIN(CHAR(10),UNIQUE(INDEX(SORT(FILTER({Enrollment_Title, Enrollment_Order},Enrollment_Include,Enrollment_Host_ID=IEH_HostID,Enrollment_Year=D$5,Enrollment_Department=$A9),2,true,1,true),,1))),)"),"")</f>
        <v/>
      </c>
      <c r="E9" s="68" t="str">
        <f>IFERROR(__xludf.DUMMYFUNCTION("IFNA(JOIN(CHAR(10),UNIQUE(INDEX(SORT(FILTER({Enrollment_Title, Enrollment_Order},Enrollment_Include,Enrollment_Host_ID=IEH_HostID,Enrollment_Year=E$5,Enrollment_Department=$A9),2,true,1,true),,1))),)"),"")</f>
        <v/>
      </c>
      <c r="F9" s="68" t="str">
        <f>IFERROR(__xludf.DUMMYFUNCTION("IFNA(JOIN(CHAR(10),UNIQUE(INDEX(SORT(FILTER({Enrollment_Title, Enrollment_Order},Enrollment_Include,Enrollment_Host_ID=IEH_HostID,Enrollment_Year=F$5,Enrollment_Department=$A9),2,true,1,true),,1))),)"),"")</f>
        <v/>
      </c>
    </row>
    <row r="10">
      <c r="A10" s="67" t="s">
        <v>72</v>
      </c>
      <c r="B10" s="68" t="str">
        <f>IFERROR(__xludf.DUMMYFUNCTION("IFNA(JOIN(CHAR(10),UNIQUE(INDEX(SORT(FILTER({Enrollment_Title, Enrollment_Order},Enrollment_Include,Enrollment_Host_ID=IEH_HostID,Enrollment_Year=B$5,Enrollment_Department=$A10),2,true,1,true),,1))),)"),"")</f>
        <v/>
      </c>
      <c r="C10" s="68" t="str">
        <f>IFERROR(__xludf.DUMMYFUNCTION("IFNA(JOIN(CHAR(10),UNIQUE(INDEX(SORT(FILTER({Enrollment_Title, Enrollment_Order},Enrollment_Include,Enrollment_Host_ID=IEH_HostID,Enrollment_Year=C$5,Enrollment_Department=$A10),2,true,1,true),,1))),)"),"")</f>
        <v/>
      </c>
      <c r="D10" s="68" t="str">
        <f>IFERROR(__xludf.DUMMYFUNCTION("IFNA(JOIN(CHAR(10),UNIQUE(INDEX(SORT(FILTER({Enrollment_Title, Enrollment_Order},Enrollment_Include,Enrollment_Host_ID=IEH_HostID,Enrollment_Year=D$5,Enrollment_Department=$A10),2,true,1,true),,1))),)"),"")</f>
        <v/>
      </c>
      <c r="E10" s="68" t="str">
        <f>IFERROR(__xludf.DUMMYFUNCTION("IFNA(JOIN(CHAR(10),UNIQUE(INDEX(SORT(FILTER({Enrollment_Title, Enrollment_Order},Enrollment_Include,Enrollment_Host_ID=IEH_HostID,Enrollment_Year=E$5,Enrollment_Department=$A10),2,true,1,true),,1))),)"),"")</f>
        <v/>
      </c>
      <c r="F10" s="68" t="str">
        <f>IFERROR(__xludf.DUMMYFUNCTION("IFNA(JOIN(CHAR(10),UNIQUE(INDEX(SORT(FILTER({Enrollment_Title, Enrollment_Order},Enrollment_Include,Enrollment_Host_ID=IEH_HostID,Enrollment_Year=F$5,Enrollment_Department=$A10),2,true,1,true),,1))),)"),"")</f>
        <v/>
      </c>
    </row>
    <row r="11">
      <c r="A11" s="67" t="s">
        <v>73</v>
      </c>
      <c r="B11" s="68" t="str">
        <f>IFERROR(__xludf.DUMMYFUNCTION("IFNA(JOIN(CHAR(10),UNIQUE(INDEX(SORT(FILTER({Enrollment_Title, Enrollment_Order},Enrollment_Include,Enrollment_Host_ID=IEH_HostID,Enrollment_Year=B$5,Enrollment_Department=$A11),2,true,1,true),,1))),)"),"")</f>
        <v/>
      </c>
      <c r="C11" s="68" t="str">
        <f>IFERROR(__xludf.DUMMYFUNCTION("IFNA(JOIN(CHAR(10),UNIQUE(INDEX(SORT(FILTER({Enrollment_Title, Enrollment_Order},Enrollment_Include,Enrollment_Host_ID=IEH_HostID,Enrollment_Year=C$5,Enrollment_Department=$A11),2,true,1,true),,1))),)"),"")</f>
        <v/>
      </c>
      <c r="D11" s="68" t="str">
        <f>IFERROR(__xludf.DUMMYFUNCTION("IFNA(JOIN(CHAR(10),UNIQUE(INDEX(SORT(FILTER({Enrollment_Title, Enrollment_Order},Enrollment_Include,Enrollment_Host_ID=IEH_HostID,Enrollment_Year=D$5,Enrollment_Department=$A11),2,true,1,true),,1))),)"),"")</f>
        <v/>
      </c>
      <c r="E11" s="68" t="str">
        <f>IFERROR(__xludf.DUMMYFUNCTION("IFNA(JOIN(CHAR(10),UNIQUE(INDEX(SORT(FILTER({Enrollment_Title, Enrollment_Order},Enrollment_Include,Enrollment_Host_ID=IEH_HostID,Enrollment_Year=E$5,Enrollment_Department=$A11),2,true,1,true),,1))),)"),"")</f>
        <v/>
      </c>
      <c r="F11" s="68" t="str">
        <f>IFERROR(__xludf.DUMMYFUNCTION("IFNA(JOIN(CHAR(10),UNIQUE(INDEX(SORT(FILTER({Enrollment_Title, Enrollment_Order},Enrollment_Include,Enrollment_Host_ID=IEH_HostID,Enrollment_Year=F$5,Enrollment_Department=$A11),2,true,1,true),,1))),)"),"")</f>
        <v/>
      </c>
    </row>
    <row r="12">
      <c r="A12" s="67" t="s">
        <v>74</v>
      </c>
      <c r="B12" s="68" t="str">
        <f>IFERROR(__xludf.DUMMYFUNCTION("IFNA(JOIN(CHAR(10),UNIQUE(INDEX(SORT(FILTER({Enrollment_Title, Enrollment_Order},Enrollment_Include,Enrollment_Host_ID=IEH_HostID,Enrollment_Year=B$5,Enrollment_Department=$A12),2,true,1,true),,1))),)"),"")</f>
        <v/>
      </c>
      <c r="C12" s="68" t="str">
        <f>IFERROR(__xludf.DUMMYFUNCTION("IFNA(JOIN(CHAR(10),UNIQUE(INDEX(SORT(FILTER({Enrollment_Title, Enrollment_Order},Enrollment_Include,Enrollment_Host_ID=IEH_HostID,Enrollment_Year=C$5,Enrollment_Department=$A12),2,true,1,true),,1))),)"),"")</f>
        <v/>
      </c>
      <c r="D12" s="68" t="str">
        <f>IFERROR(__xludf.DUMMYFUNCTION("IFNA(JOIN(CHAR(10),UNIQUE(INDEX(SORT(FILTER({Enrollment_Title, Enrollment_Order},Enrollment_Include,Enrollment_Host_ID=IEH_HostID,Enrollment_Year=D$5,Enrollment_Department=$A12),2,true,1,true),,1))),)"),"")</f>
        <v/>
      </c>
      <c r="E12" s="68" t="str">
        <f>IFERROR(__xludf.DUMMYFUNCTION("IFNA(JOIN(CHAR(10),UNIQUE(INDEX(SORT(FILTER({Enrollment_Title, Enrollment_Order},Enrollment_Include,Enrollment_Host_ID=IEH_HostID,Enrollment_Year=E$5,Enrollment_Department=$A12),2,true,1,true),,1))),)"),"")</f>
        <v/>
      </c>
      <c r="F12" s="68" t="str">
        <f>IFERROR(__xludf.DUMMYFUNCTION("IFNA(JOIN(CHAR(10),UNIQUE(INDEX(SORT(FILTER({Enrollment_Title, Enrollment_Order},Enrollment_Include,Enrollment_Host_ID=IEH_HostID,Enrollment_Year=F$5,Enrollment_Department=$A12),2,true,1,true),,1))),)"),"")</f>
        <v/>
      </c>
    </row>
    <row r="13">
      <c r="A13" s="67" t="s">
        <v>75</v>
      </c>
      <c r="B13" s="68" t="str">
        <f>IFERROR(__xludf.DUMMYFUNCTION("IFNA(JOIN(CHAR(10),UNIQUE(INDEX(SORT(FILTER({Enrollment_Title, Enrollment_Order},Enrollment_Include,Enrollment_Host_ID=IEH_HostID,Enrollment_Year=B$5,Enrollment_Department=$A13),2,true,1,true),,1))),)"),"")</f>
        <v/>
      </c>
      <c r="C13" s="68" t="str">
        <f>IFERROR(__xludf.DUMMYFUNCTION("IFNA(JOIN(CHAR(10),UNIQUE(INDEX(SORT(FILTER({Enrollment_Title, Enrollment_Order},Enrollment_Include,Enrollment_Host_ID=IEH_HostID,Enrollment_Year=C$5,Enrollment_Department=$A13),2,true,1,true),,1))),)"),"")</f>
        <v/>
      </c>
      <c r="D13" s="68" t="str">
        <f>IFERROR(__xludf.DUMMYFUNCTION("IFNA(JOIN(CHAR(10),UNIQUE(INDEX(SORT(FILTER({Enrollment_Title, Enrollment_Order},Enrollment_Include,Enrollment_Host_ID=IEH_HostID,Enrollment_Year=D$5,Enrollment_Department=$A13),2,true,1,true),,1))),)"),"")</f>
        <v/>
      </c>
      <c r="E13" s="68" t="str">
        <f>IFERROR(__xludf.DUMMYFUNCTION("IFNA(JOIN(CHAR(10),UNIQUE(INDEX(SORT(FILTER({Enrollment_Title, Enrollment_Order},Enrollment_Include,Enrollment_Host_ID=IEH_HostID,Enrollment_Year=E$5,Enrollment_Department=$A13),2,true,1,true),,1))),)"),"")</f>
        <v/>
      </c>
      <c r="F13" s="68" t="str">
        <f>IFERROR(__xludf.DUMMYFUNCTION("IFNA(JOIN(CHAR(10),UNIQUE(INDEX(SORT(FILTER({Enrollment_Title, Enrollment_Order},Enrollment_Include,Enrollment_Host_ID=IEH_HostID,Enrollment_Year=F$5,Enrollment_Department=$A13),2,true,1,true),,1))),)"),"")</f>
        <v/>
      </c>
    </row>
    <row r="14">
      <c r="A14" s="67" t="s">
        <v>76</v>
      </c>
      <c r="B14" s="68" t="str">
        <f>IFERROR(__xludf.DUMMYFUNCTION("IFNA(JOIN(CHAR(10),UNIQUE(INDEX(SORT(FILTER({Enrollment_Title, Enrollment_Order},Enrollment_Include,Enrollment_Host_ID=IEH_HostID,Enrollment_Year=B$5,Enrollment_Department=$A14),2,true,1,true),,1))),)"),"")</f>
        <v/>
      </c>
      <c r="C14" s="68" t="str">
        <f>IFERROR(__xludf.DUMMYFUNCTION("IFNA(JOIN(CHAR(10),UNIQUE(INDEX(SORT(FILTER({Enrollment_Title, Enrollment_Order},Enrollment_Include,Enrollment_Host_ID=IEH_HostID,Enrollment_Year=C$5,Enrollment_Department=$A14),2,true,1,true),,1))),)"),"")</f>
        <v/>
      </c>
      <c r="D14" s="68" t="str">
        <f>IFERROR(__xludf.DUMMYFUNCTION("IFNA(JOIN(CHAR(10),UNIQUE(INDEX(SORT(FILTER({Enrollment_Title, Enrollment_Order},Enrollment_Include,Enrollment_Host_ID=IEH_HostID,Enrollment_Year=D$5,Enrollment_Department=$A14),2,true,1,true),,1))),)"),"")</f>
        <v/>
      </c>
      <c r="E14" s="68" t="str">
        <f>IFERROR(__xludf.DUMMYFUNCTION("IFNA(JOIN(CHAR(10),UNIQUE(INDEX(SORT(FILTER({Enrollment_Title, Enrollment_Order},Enrollment_Include,Enrollment_Host_ID=IEH_HostID,Enrollment_Year=E$5,Enrollment_Department=$A14),2,true,1,true),,1))),)"),"")</f>
        <v/>
      </c>
      <c r="F14" s="68" t="str">
        <f>IFERROR(__xludf.DUMMYFUNCTION("IFNA(JOIN(CHAR(10),UNIQUE(INDEX(SORT(FILTER({Enrollment_Title, Enrollment_Order},Enrollment_Include,Enrollment_Host_ID=IEH_HostID,Enrollment_Year=F$5,Enrollment_Department=$A14),2,true,1,true),,1))),)"),"")</f>
        <v/>
      </c>
    </row>
    <row r="15">
      <c r="A15" s="67" t="s">
        <v>77</v>
      </c>
      <c r="B15" s="68" t="str">
        <f>IFERROR(__xludf.DUMMYFUNCTION("IFNA(JOIN(CHAR(10),UNIQUE(INDEX(SORT(FILTER({Enrollment_Title, Enrollment_Order},Enrollment_Include,Enrollment_Host_ID=IEH_HostID,Enrollment_Year=B$5,Enrollment_Department=$A15),2,true,1,true),,1))),)"),"")</f>
        <v/>
      </c>
      <c r="C15" s="68" t="str">
        <f>IFERROR(__xludf.DUMMYFUNCTION("IFNA(JOIN(CHAR(10),UNIQUE(INDEX(SORT(FILTER({Enrollment_Title, Enrollment_Order},Enrollment_Include,Enrollment_Host_ID=IEH_HostID,Enrollment_Year=C$5,Enrollment_Department=$A15),2,true,1,true),,1))),)"),"")</f>
        <v/>
      </c>
      <c r="D15" s="68" t="str">
        <f>IFERROR(__xludf.DUMMYFUNCTION("IFNA(JOIN(CHAR(10),UNIQUE(INDEX(SORT(FILTER({Enrollment_Title, Enrollment_Order},Enrollment_Include,Enrollment_Host_ID=IEH_HostID,Enrollment_Year=D$5,Enrollment_Department=$A15),2,true,1,true),,1))),)"),"")</f>
        <v/>
      </c>
      <c r="E15" s="68" t="str">
        <f>IFERROR(__xludf.DUMMYFUNCTION("IFNA(JOIN(CHAR(10),UNIQUE(INDEX(SORT(FILTER({Enrollment_Title, Enrollment_Order},Enrollment_Include,Enrollment_Host_ID=IEH_HostID,Enrollment_Year=E$5,Enrollment_Department=$A15),2,true,1,true),,1))),)"),"")</f>
        <v/>
      </c>
      <c r="F15" s="68" t="str">
        <f>IFERROR(__xludf.DUMMYFUNCTION("IFNA(JOIN(CHAR(10),UNIQUE(INDEX(SORT(FILTER({Enrollment_Title, Enrollment_Order},Enrollment_Include,Enrollment_Host_ID=IEH_HostID,Enrollment_Year=F$5,Enrollment_Department=$A15),2,true,1,true),,1))),)"),"")</f>
        <v/>
      </c>
    </row>
    <row r="16">
      <c r="A16" s="67" t="s">
        <v>78</v>
      </c>
      <c r="B16" s="68" t="str">
        <f>IFERROR(__xludf.DUMMYFUNCTION("IFNA(JOIN(CHAR(10),UNIQUE(INDEX(SORT(FILTER({Enrollment_Title, Enrollment_Order},Enrollment_Include,Enrollment_Host_ID=IEH_HostID,Enrollment_Year=B$5,Enrollment_Department=$A16),2,true,1,true),,1))),)"),"")</f>
        <v/>
      </c>
      <c r="C16" s="68" t="str">
        <f>IFERROR(__xludf.DUMMYFUNCTION("IFNA(JOIN(CHAR(10),UNIQUE(INDEX(SORT(FILTER({Enrollment_Title, Enrollment_Order},Enrollment_Include,Enrollment_Host_ID=IEH_HostID,Enrollment_Year=C$5,Enrollment_Department=$A16),2,true,1,true),,1))),)"),"")</f>
        <v/>
      </c>
      <c r="D16" s="68" t="str">
        <f>IFERROR(__xludf.DUMMYFUNCTION("IFNA(JOIN(CHAR(10),UNIQUE(INDEX(SORT(FILTER({Enrollment_Title, Enrollment_Order},Enrollment_Include,Enrollment_Host_ID=IEH_HostID,Enrollment_Year=D$5,Enrollment_Department=$A16),2,true,1,true),,1))),)"),"")</f>
        <v/>
      </c>
      <c r="E16" s="68" t="str">
        <f>IFERROR(__xludf.DUMMYFUNCTION("IFNA(JOIN(CHAR(10),UNIQUE(INDEX(SORT(FILTER({Enrollment_Title, Enrollment_Order},Enrollment_Include,Enrollment_Host_ID=IEH_HostID,Enrollment_Year=E$5,Enrollment_Department=$A16),2,true,1,true),,1))),)"),"")</f>
        <v/>
      </c>
      <c r="F16" s="68" t="str">
        <f>IFERROR(__xludf.DUMMYFUNCTION("IFNA(JOIN(CHAR(10),UNIQUE(INDEX(SORT(FILTER({Enrollment_Title, Enrollment_Order},Enrollment_Include,Enrollment_Host_ID=IEH_HostID,Enrollment_Year=F$5,Enrollment_Department=$A16),2,true,1,true),,1))),)"),"")</f>
        <v/>
      </c>
    </row>
  </sheetData>
  <dataValidations>
    <dataValidation type="list" allowBlank="1" showErrorMessage="1" sqref="A1">
      <formula1>#REF!</formula1>
    </dataValidation>
  </dataValidations>
  <drawing r:id="rId1"/>
</worksheet>
</file>